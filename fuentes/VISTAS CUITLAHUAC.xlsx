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Otros ordenadores\computadora 1 respaldo\Documents\JANEM\PROMOTORIA IDEAL\REPORTES\CUITLAHUAC\"/>
    </mc:Choice>
  </mc:AlternateContent>
  <xr:revisionPtr revIDLastSave="0" documentId="8_{03A9B282-F231-4D82-85C6-E77249AE45E0}" xr6:coauthVersionLast="47" xr6:coauthVersionMax="47" xr10:uidLastSave="{00000000-0000-0000-0000-000000000000}"/>
  <bookViews>
    <workbookView xWindow="-108" yWindow="-108" windowWidth="23256" windowHeight="12456" xr2:uid="{E45B3D8C-4B59-477F-BBF8-39BB554937B3}"/>
  </bookViews>
  <sheets>
    <sheet name="RESUMENES GERENCIAL" sheetId="1" r:id="rId1"/>
    <sheet name="OPERATIVO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" l="1"/>
  <c r="G17" i="1" s="1"/>
  <c r="G15" i="1"/>
  <c r="G16" i="1"/>
  <c r="G14" i="1"/>
  <c r="G13" i="1"/>
  <c r="G6" i="1"/>
  <c r="G8" i="1"/>
  <c r="E9" i="1"/>
  <c r="G9" i="1" s="1"/>
  <c r="G7" i="1"/>
  <c r="G5" i="1"/>
</calcChain>
</file>

<file path=xl/sharedStrings.xml><?xml version="1.0" encoding="utf-8"?>
<sst xmlns="http://schemas.openxmlformats.org/spreadsheetml/2006/main" count="299" uniqueCount="135">
  <si>
    <t>PÓLIZAS VIDA</t>
  </si>
  <si>
    <t>EQUIV</t>
  </si>
  <si>
    <t>PRIMA PAGADA VIDA</t>
  </si>
  <si>
    <t>PÓLIZAS GMM</t>
  </si>
  <si>
    <t>ASEG</t>
  </si>
  <si>
    <t>PRIMA PAGADA GMM</t>
  </si>
  <si>
    <t>PRIMA PAGADA TOTAL</t>
  </si>
  <si>
    <t>META PÓLIZAS / META EQUIV OMEGAS</t>
  </si>
  <si>
    <t>FALTANTE PÓLIZAS/META ASEG OMEGAS</t>
  </si>
  <si>
    <t>META AXA/ OMEGAS PRIMA VIDA</t>
  </si>
  <si>
    <t>FALTA PRIMA</t>
  </si>
  <si>
    <t>META JANEM / OMEGAS PRIMA GASTOS MEDICOS</t>
  </si>
  <si>
    <t>N° DE POLIZAS NUEVAS (GMM) 2024</t>
  </si>
  <si>
    <t>ASEG 2024</t>
  </si>
  <si>
    <t>PRIMA GMM VENTA NUEVA 2024</t>
  </si>
  <si>
    <t>PRIMA SUBSECUENTE GMM 2024</t>
  </si>
  <si>
    <t>TOTAL GMM 2024</t>
  </si>
  <si>
    <t>N° DE POLIZAS NUEVAS (GMM) 2025</t>
  </si>
  <si>
    <t>ASEG 2025</t>
  </si>
  <si>
    <t>PRIMA GMM VENTA NUEVA 2025</t>
  </si>
  <si>
    <t>PRIMA SUBSECUENTE GMM 2025</t>
  </si>
  <si>
    <t>TOTAL GMM 2025</t>
  </si>
  <si>
    <t>CRECIMIENTO 2024 VS 2025 POLIZAS</t>
  </si>
  <si>
    <t>CRECIMIENTO 2024 VS 2025 ASEGS</t>
  </si>
  <si>
    <t>CRECIMIENTO 2024 VS 2025 PRIMA TOTAL GMM</t>
  </si>
  <si>
    <t>N° DE POLIZAS NUEVAS (VIDA) 2024</t>
  </si>
  <si>
    <t>EQUIVALENTES 2024</t>
  </si>
  <si>
    <t>PRIMA VIDA VENTA NUEVA 2024</t>
  </si>
  <si>
    <t>PRIMA SUBSECUENTE VIDA 2024</t>
  </si>
  <si>
    <t>TOTAL VIDA 2024</t>
  </si>
  <si>
    <t>N° DE POLIZAS NUEVAS (VIDA) 2025</t>
  </si>
  <si>
    <t>EQUIVALENTES 2025</t>
  </si>
  <si>
    <t>PRIMA VIDA VENTA NUEVA 2025</t>
  </si>
  <si>
    <t>PRIMA SUBSECUENTE VIDA 2025</t>
  </si>
  <si>
    <t>TOTAL VIDA 2025</t>
  </si>
  <si>
    <t>CRECIMIENTO 2024 VS 2025 EQUIVALENTES</t>
  </si>
  <si>
    <t>CRECIMIENTO 2024 VS 2025 PRIMA TOTAL VIDA</t>
  </si>
  <si>
    <t>GASTOS MÉDICOS</t>
  </si>
  <si>
    <t>VIDA</t>
  </si>
  <si>
    <t>POR RAMO</t>
  </si>
  <si>
    <t>POR PROMOTOR</t>
  </si>
  <si>
    <t>POR LIDER</t>
  </si>
  <si>
    <t>POR GESTION COMERCIAL</t>
  </si>
  <si>
    <t>POR AGENTE</t>
  </si>
  <si>
    <t xml:space="preserve">POR SEGMENTO </t>
  </si>
  <si>
    <t>DIRECCIÓN</t>
  </si>
  <si>
    <t>ADMINISTRATIVO</t>
  </si>
  <si>
    <t>GERENCIAL</t>
  </si>
  <si>
    <t xml:space="preserve">N° DE POLIZAS NUEVAS </t>
  </si>
  <si>
    <t xml:space="preserve">ASEG </t>
  </si>
  <si>
    <t xml:space="preserve">PRIMA GMM VENTA NUEVA </t>
  </si>
  <si>
    <t xml:space="preserve">PRIMA SUBSECUENTE GMM </t>
  </si>
  <si>
    <t xml:space="preserve">TOTAL GMM </t>
  </si>
  <si>
    <t xml:space="preserve">EQUIVALENTES </t>
  </si>
  <si>
    <t xml:space="preserve">PRIMA VIDA VENTA NUEVA </t>
  </si>
  <si>
    <t xml:space="preserve">PRIMA SUBSECUENTE VIDA </t>
  </si>
  <si>
    <t xml:space="preserve">TOTAL VIDA </t>
  </si>
  <si>
    <t>VAR</t>
  </si>
  <si>
    <t>FILTROS</t>
  </si>
  <si>
    <t xml:space="preserve">MES </t>
  </si>
  <si>
    <t>ACUMULADO AL MES</t>
  </si>
  <si>
    <t>PRESUPUESTO</t>
  </si>
  <si>
    <t>MES (X)</t>
  </si>
  <si>
    <t>MES (X-1)</t>
  </si>
  <si>
    <t>PERIODO</t>
  </si>
  <si>
    <t>Periodo comparable a elegir por el cliente /dia/mes/trimestre/semestre/año</t>
  </si>
  <si>
    <t>CLAVE2</t>
  </si>
  <si>
    <t>CLAVE</t>
  </si>
  <si>
    <t>AGENTE</t>
  </si>
  <si>
    <t>SEGMENTO</t>
  </si>
  <si>
    <t>ESTADO</t>
  </si>
  <si>
    <t>ASOCIADO</t>
  </si>
  <si>
    <t>SEGMENTO AGRUPADO</t>
  </si>
  <si>
    <t>GESTIÓN</t>
  </si>
  <si>
    <t>JOAQUIN ANGULO NEME</t>
  </si>
  <si>
    <t>ALFA/BETA</t>
  </si>
  <si>
    <t>ACTIVO</t>
  </si>
  <si>
    <t>QUERETARO</t>
  </si>
  <si>
    <t>ALFA</t>
  </si>
  <si>
    <t>ALFA/MARIA ESTHER</t>
  </si>
  <si>
    <t>MAURICIO GONZALEZ DE COSSIO URQUIZA</t>
  </si>
  <si>
    <t>ALFA TOP COMBINADO</t>
  </si>
  <si>
    <t>JORGE BLASCO MANTEROLA</t>
  </si>
  <si>
    <t>JANEM</t>
  </si>
  <si>
    <t>MARIO ALBERTO FLORES RAMIREZ</t>
  </si>
  <si>
    <t>OMEGA</t>
  </si>
  <si>
    <t>MARIO FLORES</t>
  </si>
  <si>
    <t>JORGE GERMAN CARDENAS MASIAS</t>
  </si>
  <si>
    <t>JANEM-IR</t>
  </si>
  <si>
    <t>MARIA ESTHER</t>
  </si>
  <si>
    <t>ROGELIO ALEJANDRO CORTES SANCHEZ</t>
  </si>
  <si>
    <t>ALFA/JOSE MIGUEL</t>
  </si>
  <si>
    <t>YULIETH NATALI MORALES JARAMILLO</t>
  </si>
  <si>
    <t>ALFA/ALEJANDRO</t>
  </si>
  <si>
    <t>GILBERTO RUEDA MEDINA</t>
  </si>
  <si>
    <t>ROSALBA YAÑEZ</t>
  </si>
  <si>
    <t>GABRIELA DEWI GUERRERO PATATUCHI</t>
  </si>
  <si>
    <t>BETA1</t>
  </si>
  <si>
    <t>BETA</t>
  </si>
  <si>
    <t>JOAQUIN OBREGON CORCUERA</t>
  </si>
  <si>
    <t>MARIA ANGELICA ORIHUELA TORRES</t>
  </si>
  <si>
    <t>ANGELICA ORIHUELA</t>
  </si>
  <si>
    <t>DANIEL HORI GOMEZ</t>
  </si>
  <si>
    <t>JAVIER HORI</t>
  </si>
  <si>
    <t>MARIA DEL MAR SANCHEZ RULL</t>
  </si>
  <si>
    <t>ALFA INTEGRAL</t>
  </si>
  <si>
    <t>ERIK ANDREW NAVARRO MONDRAGON</t>
  </si>
  <si>
    <t>ERIK NAVARRO</t>
  </si>
  <si>
    <t>MARIA JOSE BENITA BORDES</t>
  </si>
  <si>
    <t>MARTHA LILIA ALVAREZ ARROYO</t>
  </si>
  <si>
    <t>MARTHA ALVAREZ</t>
  </si>
  <si>
    <t>GUILLERMO ACEVEDO GOMEZ</t>
  </si>
  <si>
    <t>JOSE MIGUEL</t>
  </si>
  <si>
    <t>RODRIGO DEL CUETO LACROIX</t>
  </si>
  <si>
    <t>ROCIO SAMANIEGO</t>
  </si>
  <si>
    <t>PREAVISIO AGENTE DE SEGUROS, S.A. DE C.V.</t>
  </si>
  <si>
    <t>ALFA TOP INTEGRAL</t>
  </si>
  <si>
    <t>ALBERTO VEREO</t>
  </si>
  <si>
    <t>PAULINA MAYELA VAZQUEZ MORENO</t>
  </si>
  <si>
    <t>ALEJANDRO ANDRADE ANDRADE</t>
  </si>
  <si>
    <t>AURELIA NEME SASTRE</t>
  </si>
  <si>
    <t>SOCIO JANEM</t>
  </si>
  <si>
    <t>JOSE CARLOS MONROY WRIEDT</t>
  </si>
  <si>
    <t>ALEJANDRO FLORES</t>
  </si>
  <si>
    <t>MARCO ANTONIO DE LA ROSA RODRIGUEZ</t>
  </si>
  <si>
    <t>MARIA DE LOURDES ORIHUELA TORRES</t>
  </si>
  <si>
    <t>KARENINA LUNA MENDOZA</t>
  </si>
  <si>
    <t>JOEL ADEMAR ALVARADO RODRIGUEZ</t>
  </si>
  <si>
    <t>BAJA PRODUCTIVIDAD</t>
  </si>
  <si>
    <t>YANARA PLASENCIA RAMIREZ</t>
  </si>
  <si>
    <t>TOP 20</t>
  </si>
  <si>
    <t>TOP 10</t>
  </si>
  <si>
    <t>OMEGAS</t>
  </si>
  <si>
    <t>BETAS</t>
  </si>
  <si>
    <t>DIRECTIVO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</si>
</sst>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44" formatCode="_-&quot;$&quot;* #,##0.00_-;\-&quot;$&quot;* #,##0.00_-;_-&quot;$&quot;* &quot;-&quot;??_-;_-@_-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4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2"/>
      <name val="Calibri"/>
      <family val="2"/>
    </font>
    <font>
      <sz val="12"/>
      <color rgb="FFFF0000"/>
      <name val="Calibri"/>
      <family val="2"/>
    </font>
    <font>
      <sz val="14"/>
      <color rgb="FFFFFFFF"/>
      <name val="Aptos Narrow"/>
      <family val="2"/>
    </font>
    <font>
      <b/>
      <sz val="14"/>
      <color rgb="FFFFFFFF"/>
      <name val="Aptos Narrow"/>
      <family val="2"/>
    </font>
    <font>
      <b/>
      <sz val="14"/>
      <name val="Aptos Narrow"/>
      <family val="2"/>
    </font>
    <font>
      <b/>
      <sz val="14"/>
      <color rgb="FF000000"/>
      <name val="Aptos Narrow"/>
      <family val="2"/>
    </font>
    <font>
      <b/>
      <sz val="16"/>
      <name val="Aptos Narrow"/>
      <family val="2"/>
    </font>
    <font>
      <sz val="11"/>
      <name val="Aptos Narrow"/>
      <family val="2"/>
    </font>
    <font>
      <sz val="11"/>
      <color rgb="FF000000"/>
      <name val="Aptos Narrow"/>
      <family val="2"/>
    </font>
    <font>
      <sz val="11"/>
      <color theme="1"/>
      <name val="Aptos Narrow"/>
      <family val="2"/>
    </font>
    <font>
      <sz val="12"/>
      <name val="Aptos Narrow"/>
      <family val="2"/>
    </font>
    <font>
      <sz val="12"/>
      <color rgb="FF000000"/>
      <name val="Aptos Narrow"/>
      <family val="2"/>
    </font>
    <font>
      <b/>
      <sz val="16"/>
      <color rgb="FF000000"/>
      <name val="Aptos Narrow"/>
      <family val="2"/>
    </font>
    <font>
      <b/>
      <sz val="16"/>
      <color rgb="FFFF0000"/>
      <name val="Aptos Narrow"/>
      <family val="2"/>
    </font>
    <font>
      <sz val="11"/>
      <color rgb="FFFF0000"/>
      <name val="Aptos Narrow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B3040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123252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FFFFFF"/>
        <bgColor rgb="FF000000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ck">
        <color theme="0"/>
      </right>
      <top/>
      <bottom/>
      <diagonal/>
    </border>
    <border>
      <left/>
      <right style="thick">
        <color theme="0"/>
      </right>
      <top style="thin">
        <color auto="1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7">
    <xf numFmtId="0" fontId="0" fillId="0" borderId="0" xfId="0"/>
    <xf numFmtId="0" fontId="4" fillId="3" borderId="1" xfId="0" applyFont="1" applyFill="1" applyBorder="1" applyAlignment="1">
      <alignment horizontal="center" vertical="center" wrapText="1"/>
    </xf>
    <xf numFmtId="4" fontId="3" fillId="2" borderId="0" xfId="0" applyNumberFormat="1" applyFont="1" applyFill="1" applyAlignment="1">
      <alignment vertical="center"/>
    </xf>
    <xf numFmtId="0" fontId="0" fillId="0" borderId="0" xfId="0" applyAlignment="1">
      <alignment vertical="center"/>
    </xf>
    <xf numFmtId="9" fontId="3" fillId="2" borderId="0" xfId="2" applyFont="1" applyFill="1" applyAlignment="1">
      <alignment vertical="center"/>
    </xf>
    <xf numFmtId="0" fontId="4" fillId="0" borderId="4" xfId="0" applyFont="1" applyBorder="1" applyAlignment="1">
      <alignment horizontal="center" vertical="center" wrapText="1"/>
    </xf>
    <xf numFmtId="8" fontId="3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vertical="center"/>
    </xf>
    <xf numFmtId="8" fontId="3" fillId="0" borderId="5" xfId="0" applyNumberFormat="1" applyFont="1" applyBorder="1" applyAlignment="1">
      <alignment vertical="center"/>
    </xf>
    <xf numFmtId="9" fontId="3" fillId="0" borderId="5" xfId="2" applyFont="1" applyFill="1" applyBorder="1" applyAlignment="1">
      <alignment vertical="center"/>
    </xf>
    <xf numFmtId="9" fontId="3" fillId="0" borderId="0" xfId="2" applyFont="1" applyFill="1" applyBorder="1" applyAlignment="1">
      <alignment vertical="center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3" borderId="4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 vertical="center" wrapText="1"/>
    </xf>
    <xf numFmtId="9" fontId="3" fillId="0" borderId="0" xfId="2" applyFont="1" applyFill="1" applyAlignment="1">
      <alignment vertical="center"/>
    </xf>
    <xf numFmtId="9" fontId="3" fillId="2" borderId="0" xfId="2" applyFont="1" applyFill="1" applyBorder="1" applyAlignment="1">
      <alignment vertical="center"/>
    </xf>
    <xf numFmtId="4" fontId="3" fillId="2" borderId="15" xfId="0" applyNumberFormat="1" applyFont="1" applyFill="1" applyBorder="1" applyAlignment="1">
      <alignment vertical="center"/>
    </xf>
    <xf numFmtId="8" fontId="3" fillId="2" borderId="15" xfId="0" applyNumberFormat="1" applyFont="1" applyFill="1" applyBorder="1" applyAlignment="1">
      <alignment vertical="center"/>
    </xf>
    <xf numFmtId="8" fontId="3" fillId="0" borderId="16" xfId="0" applyNumberFormat="1" applyFont="1" applyBorder="1" applyAlignment="1">
      <alignment vertical="center"/>
    </xf>
    <xf numFmtId="0" fontId="5" fillId="0" borderId="15" xfId="0" applyFont="1" applyBorder="1" applyAlignment="1">
      <alignment horizontal="center"/>
    </xf>
    <xf numFmtId="0" fontId="0" fillId="0" borderId="15" xfId="0" applyBorder="1"/>
    <xf numFmtId="9" fontId="3" fillId="2" borderId="0" xfId="2" applyFont="1" applyFill="1" applyBorder="1" applyAlignment="1">
      <alignment horizontal="center" vertical="center"/>
    </xf>
    <xf numFmtId="0" fontId="10" fillId="4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4" fontId="11" fillId="4" borderId="0" xfId="0" applyNumberFormat="1" applyFont="1" applyFill="1"/>
    <xf numFmtId="3" fontId="11" fillId="4" borderId="0" xfId="0" applyNumberFormat="1" applyFont="1" applyFill="1"/>
    <xf numFmtId="8" fontId="11" fillId="4" borderId="0" xfId="0" applyNumberFormat="1" applyFont="1" applyFill="1"/>
    <xf numFmtId="9" fontId="10" fillId="4" borderId="0" xfId="0" applyNumberFormat="1" applyFont="1" applyFill="1"/>
    <xf numFmtId="49" fontId="12" fillId="5" borderId="13" xfId="0" applyNumberFormat="1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8" fontId="12" fillId="5" borderId="1" xfId="0" applyNumberFormat="1" applyFont="1" applyFill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center" vertical="center" wrapText="1"/>
    </xf>
    <xf numFmtId="3" fontId="11" fillId="4" borderId="3" xfId="0" applyNumberFormat="1" applyFont="1" applyFill="1" applyBorder="1" applyAlignment="1">
      <alignment horizontal="center" vertical="center" wrapText="1"/>
    </xf>
    <xf numFmtId="8" fontId="11" fillId="4" borderId="3" xfId="0" applyNumberFormat="1" applyFont="1" applyFill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10" fontId="11" fillId="6" borderId="3" xfId="0" applyNumberFormat="1" applyFont="1" applyFill="1" applyBorder="1" applyAlignment="1">
      <alignment horizontal="center" vertical="center" wrapText="1"/>
    </xf>
    <xf numFmtId="3" fontId="11" fillId="7" borderId="3" xfId="0" applyNumberFormat="1" applyFont="1" applyFill="1" applyBorder="1" applyAlignment="1">
      <alignment horizontal="center" vertical="center" wrapText="1"/>
    </xf>
    <xf numFmtId="8" fontId="11" fillId="7" borderId="3" xfId="0" applyNumberFormat="1" applyFont="1" applyFill="1" applyBorder="1" applyAlignment="1">
      <alignment horizontal="center"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1" fillId="7" borderId="3" xfId="0" applyFont="1" applyFill="1" applyBorder="1" applyAlignment="1">
      <alignment horizontal="center" vertical="center"/>
    </xf>
    <xf numFmtId="10" fontId="13" fillId="0" borderId="1" xfId="0" applyNumberFormat="1" applyFont="1" applyBorder="1" applyAlignment="1">
      <alignment horizontal="center" vertical="center" wrapText="1"/>
    </xf>
    <xf numFmtId="1" fontId="14" fillId="8" borderId="0" xfId="0" applyNumberFormat="1" applyFont="1" applyFill="1" applyAlignment="1">
      <alignment horizontal="center"/>
    </xf>
    <xf numFmtId="0" fontId="8" fillId="8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15" fillId="8" borderId="4" xfId="0" applyFont="1" applyFill="1" applyBorder="1" applyAlignment="1">
      <alignment horizontal="center"/>
    </xf>
    <xf numFmtId="8" fontId="15" fillId="8" borderId="4" xfId="0" applyNumberFormat="1" applyFont="1" applyFill="1" applyBorder="1" applyAlignment="1">
      <alignment horizontal="center"/>
    </xf>
    <xf numFmtId="8" fontId="15" fillId="8" borderId="4" xfId="1" applyNumberFormat="1" applyFont="1" applyFill="1" applyBorder="1" applyAlignment="1">
      <alignment horizontal="center"/>
    </xf>
    <xf numFmtId="0" fontId="16" fillId="8" borderId="4" xfId="1" applyNumberFormat="1" applyFont="1" applyFill="1" applyBorder="1" applyAlignment="1">
      <alignment horizontal="center"/>
    </xf>
    <xf numFmtId="0" fontId="15" fillId="8" borderId="4" xfId="1" applyNumberFormat="1" applyFont="1" applyFill="1" applyBorder="1" applyAlignment="1">
      <alignment horizontal="center"/>
    </xf>
    <xf numFmtId="44" fontId="15" fillId="8" borderId="4" xfId="1" applyFont="1" applyFill="1" applyBorder="1"/>
    <xf numFmtId="8" fontId="16" fillId="8" borderId="14" xfId="1" applyNumberFormat="1" applyFont="1" applyFill="1" applyBorder="1"/>
    <xf numFmtId="8" fontId="16" fillId="8" borderId="4" xfId="1" applyNumberFormat="1" applyFont="1" applyFill="1" applyBorder="1"/>
    <xf numFmtId="0" fontId="8" fillId="8" borderId="0" xfId="0" applyFont="1" applyFill="1"/>
    <xf numFmtId="8" fontId="15" fillId="8" borderId="0" xfId="0" applyNumberFormat="1" applyFont="1" applyFill="1"/>
    <xf numFmtId="3" fontId="15" fillId="8" borderId="0" xfId="0" applyNumberFormat="1" applyFont="1" applyFill="1"/>
    <xf numFmtId="0" fontId="17" fillId="8" borderId="0" xfId="0" applyFont="1" applyFill="1"/>
    <xf numFmtId="9" fontId="15" fillId="8" borderId="0" xfId="0" applyNumberFormat="1" applyFont="1" applyFill="1"/>
    <xf numFmtId="0" fontId="18" fillId="8" borderId="0" xfId="0" applyFont="1" applyFill="1" applyAlignment="1">
      <alignment horizontal="center"/>
    </xf>
    <xf numFmtId="8" fontId="15" fillId="8" borderId="14" xfId="1" applyNumberFormat="1" applyFont="1" applyFill="1" applyBorder="1"/>
    <xf numFmtId="1" fontId="17" fillId="8" borderId="0" xfId="0" applyNumberFormat="1" applyFont="1" applyFill="1" applyAlignment="1">
      <alignment horizontal="center"/>
    </xf>
    <xf numFmtId="0" fontId="19" fillId="8" borderId="0" xfId="0" applyFont="1" applyFill="1" applyAlignment="1">
      <alignment horizontal="center"/>
    </xf>
    <xf numFmtId="0" fontId="17" fillId="8" borderId="0" xfId="0" applyFont="1" applyFill="1" applyAlignment="1">
      <alignment horizontal="center"/>
    </xf>
    <xf numFmtId="0" fontId="8" fillId="8" borderId="0" xfId="0" applyFont="1" applyFill="1" applyAlignment="1">
      <alignment horizontal="center" vertical="center"/>
    </xf>
    <xf numFmtId="3" fontId="15" fillId="8" borderId="4" xfId="0" applyNumberFormat="1" applyFont="1" applyFill="1" applyBorder="1" applyAlignment="1">
      <alignment horizontal="center"/>
    </xf>
    <xf numFmtId="1" fontId="20" fillId="8" borderId="0" xfId="0" applyNumberFormat="1" applyFont="1" applyFill="1" applyAlignment="1">
      <alignment horizontal="center"/>
    </xf>
    <xf numFmtId="0" fontId="16" fillId="8" borderId="0" xfId="0" applyFont="1" applyFill="1" applyAlignment="1">
      <alignment horizontal="center"/>
    </xf>
    <xf numFmtId="49" fontId="17" fillId="8" borderId="0" xfId="0" applyNumberFormat="1" applyFont="1" applyFill="1" applyAlignment="1">
      <alignment horizontal="center"/>
    </xf>
    <xf numFmtId="1" fontId="21" fillId="8" borderId="0" xfId="0" applyNumberFormat="1" applyFont="1" applyFill="1" applyAlignment="1">
      <alignment horizontal="center"/>
    </xf>
    <xf numFmtId="0" fontId="9" fillId="8" borderId="0" xfId="0" applyFont="1" applyFill="1" applyAlignment="1">
      <alignment horizontal="center" vertical="center"/>
    </xf>
    <xf numFmtId="0" fontId="22" fillId="8" borderId="0" xfId="0" applyFont="1" applyFill="1" applyAlignment="1">
      <alignment horizontal="center"/>
    </xf>
    <xf numFmtId="0" fontId="22" fillId="8" borderId="4" xfId="0" applyFont="1" applyFill="1" applyBorder="1" applyAlignment="1">
      <alignment horizontal="center"/>
    </xf>
    <xf numFmtId="8" fontId="22" fillId="8" borderId="4" xfId="0" applyNumberFormat="1" applyFont="1" applyFill="1" applyBorder="1" applyAlignment="1">
      <alignment horizontal="center"/>
    </xf>
    <xf numFmtId="8" fontId="22" fillId="8" borderId="4" xfId="1" applyNumberFormat="1" applyFont="1" applyFill="1" applyBorder="1" applyAlignment="1">
      <alignment horizontal="center"/>
    </xf>
    <xf numFmtId="0" fontId="22" fillId="8" borderId="4" xfId="1" applyNumberFormat="1" applyFont="1" applyFill="1" applyBorder="1" applyAlignment="1">
      <alignment horizont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Alignment="1">
      <alignment horizontal="center"/>
    </xf>
  </cellXfs>
  <cellStyles count="3">
    <cellStyle name="Moneda" xfId="1" builtinId="4"/>
    <cellStyle name="Normal" xfId="0" builtinId="0"/>
    <cellStyle name="Porcentaje" xfId="2" builtinId="5"/>
  </cellStyles>
  <dxfs count="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EA0C7-90BE-4D0D-A7E6-CD588AAB9F7B}">
  <dimension ref="A1:T63"/>
  <sheetViews>
    <sheetView tabSelected="1" workbookViewId="0">
      <selection activeCell="C5" sqref="C5"/>
    </sheetView>
  </sheetViews>
  <sheetFormatPr baseColWidth="10" defaultRowHeight="14.4" x14ac:dyDescent="0.3"/>
  <cols>
    <col min="1" max="1" width="23" customWidth="1"/>
    <col min="2" max="2" width="37.77734375" customWidth="1"/>
    <col min="3" max="3" width="16.44140625" style="3" bestFit="1" customWidth="1"/>
    <col min="4" max="4" width="5.33203125" customWidth="1"/>
    <col min="5" max="5" width="20.44140625" customWidth="1"/>
    <col min="7" max="7" width="19.77734375" customWidth="1"/>
    <col min="8" max="8" width="17.77734375" bestFit="1" customWidth="1"/>
    <col min="10" max="10" width="18.44140625" customWidth="1"/>
    <col min="11" max="11" width="22.5546875" bestFit="1" customWidth="1"/>
    <col min="13" max="13" width="17.77734375" bestFit="1" customWidth="1"/>
    <col min="15" max="15" width="14.77734375" customWidth="1"/>
  </cols>
  <sheetData>
    <row r="1" spans="1:14" ht="15" thickBot="1" x14ac:dyDescent="0.35">
      <c r="A1" t="s">
        <v>134</v>
      </c>
      <c r="B1" s="96" t="s">
        <v>65</v>
      </c>
      <c r="C1" s="96"/>
      <c r="D1" s="96"/>
      <c r="E1" s="96"/>
      <c r="F1" s="96"/>
      <c r="G1" s="96"/>
    </row>
    <row r="2" spans="1:14" ht="21.6" thickBot="1" x14ac:dyDescent="0.45">
      <c r="A2" s="17" t="s">
        <v>37</v>
      </c>
      <c r="C2" s="19">
        <v>2024</v>
      </c>
      <c r="D2" s="20"/>
      <c r="E2" s="21">
        <v>2025</v>
      </c>
      <c r="G2" s="9" t="s">
        <v>57</v>
      </c>
      <c r="I2" s="93" t="s">
        <v>58</v>
      </c>
      <c r="J2" s="93"/>
      <c r="K2" s="23" t="s">
        <v>39</v>
      </c>
      <c r="L2" s="24"/>
      <c r="M2" s="25" t="s">
        <v>45</v>
      </c>
    </row>
    <row r="3" spans="1:14" ht="21.6" thickBot="1" x14ac:dyDescent="0.45">
      <c r="A3" s="17"/>
      <c r="B3" s="1" t="s">
        <v>64</v>
      </c>
      <c r="C3" s="19" t="s">
        <v>62</v>
      </c>
      <c r="D3" s="20"/>
      <c r="E3" s="21" t="s">
        <v>62</v>
      </c>
      <c r="G3" s="9"/>
      <c r="I3" s="94"/>
      <c r="J3" s="94"/>
      <c r="K3" s="23" t="s">
        <v>40</v>
      </c>
      <c r="L3" s="24"/>
      <c r="M3" s="25" t="s">
        <v>45</v>
      </c>
    </row>
    <row r="4" spans="1:14" ht="15" thickBot="1" x14ac:dyDescent="0.35">
      <c r="I4" s="94"/>
      <c r="J4" s="94"/>
      <c r="K4" s="23" t="s">
        <v>41</v>
      </c>
      <c r="L4" s="24"/>
      <c r="M4" s="25" t="s">
        <v>47</v>
      </c>
    </row>
    <row r="5" spans="1:14" ht="28.2" customHeight="1" thickBot="1" x14ac:dyDescent="0.35">
      <c r="B5" s="1" t="s">
        <v>48</v>
      </c>
      <c r="C5" s="2">
        <v>653</v>
      </c>
      <c r="D5" s="5"/>
      <c r="E5" s="2">
        <v>672</v>
      </c>
      <c r="G5" s="4">
        <f>+E5/C5-1</f>
        <v>2.9096477794793296E-2</v>
      </c>
      <c r="I5" s="94"/>
      <c r="J5" s="94"/>
      <c r="K5" s="23" t="s">
        <v>42</v>
      </c>
      <c r="L5" s="24"/>
      <c r="M5" s="25" t="s">
        <v>47</v>
      </c>
      <c r="N5" t="s">
        <v>131</v>
      </c>
    </row>
    <row r="6" spans="1:14" ht="18.600000000000001" thickBot="1" x14ac:dyDescent="0.35">
      <c r="B6" s="1" t="s">
        <v>49</v>
      </c>
      <c r="C6" s="2">
        <v>1029</v>
      </c>
      <c r="D6" s="5"/>
      <c r="E6" s="2">
        <v>1019</v>
      </c>
      <c r="G6" s="4">
        <f>+E6/C6-1</f>
        <v>-9.7181729834791009E-3</v>
      </c>
      <c r="I6" s="94"/>
      <c r="J6" s="94"/>
      <c r="K6" s="23" t="s">
        <v>44</v>
      </c>
      <c r="L6" s="24"/>
      <c r="M6" s="25" t="s">
        <v>47</v>
      </c>
      <c r="N6" t="s">
        <v>130</v>
      </c>
    </row>
    <row r="7" spans="1:14" ht="20.399999999999999" customHeight="1" thickBot="1" x14ac:dyDescent="0.35">
      <c r="B7" s="1" t="s">
        <v>50</v>
      </c>
      <c r="C7" s="2">
        <v>14205738.219999997</v>
      </c>
      <c r="D7" s="5"/>
      <c r="E7" s="2">
        <v>15054843.119999995</v>
      </c>
      <c r="G7" s="4">
        <f t="shared" ref="G7:G9" si="0">+E7/C7-1</f>
        <v>5.9771965866902921E-2</v>
      </c>
      <c r="I7" s="95"/>
      <c r="J7" s="95"/>
      <c r="K7" s="23" t="s">
        <v>43</v>
      </c>
      <c r="L7" s="24"/>
      <c r="M7" s="25" t="s">
        <v>46</v>
      </c>
      <c r="N7" t="s">
        <v>130</v>
      </c>
    </row>
    <row r="8" spans="1:14" ht="18" x14ac:dyDescent="0.3">
      <c r="B8" s="1" t="s">
        <v>51</v>
      </c>
      <c r="C8" s="2">
        <v>1968985.5099999993</v>
      </c>
      <c r="D8" s="5"/>
      <c r="E8" s="6">
        <v>2631796.6399999997</v>
      </c>
      <c r="G8" s="4">
        <f t="shared" si="0"/>
        <v>0.33662570223790045</v>
      </c>
    </row>
    <row r="9" spans="1:14" ht="18" x14ac:dyDescent="0.3">
      <c r="B9" s="11" t="s">
        <v>52</v>
      </c>
      <c r="C9" s="2">
        <v>16174723.730000002</v>
      </c>
      <c r="D9" s="5"/>
      <c r="E9" s="6">
        <f>+E7+E8</f>
        <v>17686639.759999994</v>
      </c>
      <c r="G9" s="4">
        <f t="shared" si="0"/>
        <v>9.3473994068645094E-2</v>
      </c>
    </row>
    <row r="10" spans="1:14" ht="18" x14ac:dyDescent="0.3">
      <c r="B10" s="12"/>
      <c r="C10" s="13"/>
      <c r="D10" s="10"/>
      <c r="E10" s="14"/>
      <c r="G10" s="15"/>
    </row>
    <row r="11" spans="1:14" ht="25.8" x14ac:dyDescent="0.5">
      <c r="A11" s="18" t="s">
        <v>38</v>
      </c>
      <c r="B11" s="10"/>
      <c r="C11" s="19">
        <v>2024</v>
      </c>
      <c r="D11" s="20"/>
      <c r="E11" s="21">
        <v>2025</v>
      </c>
      <c r="G11" s="9" t="s">
        <v>57</v>
      </c>
    </row>
    <row r="13" spans="1:14" ht="18" x14ac:dyDescent="0.3">
      <c r="B13" s="1" t="s">
        <v>48</v>
      </c>
      <c r="C13" s="2">
        <v>287</v>
      </c>
      <c r="D13" s="5"/>
      <c r="E13" s="2">
        <v>260</v>
      </c>
      <c r="F13" s="22"/>
      <c r="G13" s="4">
        <f>+E13/C13-1</f>
        <v>-9.4076655052264813E-2</v>
      </c>
    </row>
    <row r="14" spans="1:14" ht="18" x14ac:dyDescent="0.3">
      <c r="B14" s="1" t="s">
        <v>53</v>
      </c>
      <c r="C14" s="2">
        <v>386</v>
      </c>
      <c r="D14" s="5"/>
      <c r="E14" s="2">
        <v>361.5</v>
      </c>
      <c r="F14" s="22"/>
      <c r="G14" s="4">
        <f>+E14/C14-1</f>
        <v>-6.3471502590673579E-2</v>
      </c>
    </row>
    <row r="15" spans="1:14" ht="18" x14ac:dyDescent="0.3">
      <c r="B15" s="1" t="s">
        <v>54</v>
      </c>
      <c r="C15" s="2">
        <v>13184225.949999988</v>
      </c>
      <c r="D15" s="5"/>
      <c r="E15" s="2">
        <v>16841996.880000003</v>
      </c>
      <c r="F15" s="22"/>
      <c r="G15" s="4">
        <f t="shared" ref="G15:G17" si="1">+E15/C15-1</f>
        <v>0.27743539468087008</v>
      </c>
    </row>
    <row r="16" spans="1:14" ht="18" x14ac:dyDescent="0.3">
      <c r="B16" s="1" t="s">
        <v>55</v>
      </c>
      <c r="C16" s="2">
        <v>4897379.879999999</v>
      </c>
      <c r="D16" s="5"/>
      <c r="E16" s="2">
        <v>3990498.3700000006</v>
      </c>
      <c r="F16" s="22"/>
      <c r="G16" s="4">
        <f t="shared" si="1"/>
        <v>-0.18517687666083171</v>
      </c>
    </row>
    <row r="17" spans="1:13" ht="18" x14ac:dyDescent="0.3">
      <c r="B17" s="11" t="s">
        <v>56</v>
      </c>
      <c r="C17" s="2">
        <f>+C15+C16</f>
        <v>18081605.829999987</v>
      </c>
      <c r="D17" s="5"/>
      <c r="E17" s="2">
        <v>20832495.249999996</v>
      </c>
      <c r="F17" s="22"/>
      <c r="G17" s="4">
        <f t="shared" si="1"/>
        <v>0.15213745094674547</v>
      </c>
    </row>
    <row r="24" spans="1:13" x14ac:dyDescent="0.3">
      <c r="C24" s="7" t="s">
        <v>65</v>
      </c>
      <c r="D24" s="3"/>
      <c r="E24" s="3"/>
    </row>
    <row r="25" spans="1:13" ht="42" x14ac:dyDescent="0.4">
      <c r="A25" t="s">
        <v>47</v>
      </c>
      <c r="C25" s="19" t="s">
        <v>63</v>
      </c>
      <c r="D25" s="20"/>
      <c r="E25" s="19" t="s">
        <v>59</v>
      </c>
      <c r="G25" s="26" t="s">
        <v>60</v>
      </c>
      <c r="I25" s="9" t="s">
        <v>57</v>
      </c>
      <c r="J25" s="9"/>
      <c r="K25" s="27" t="s">
        <v>61</v>
      </c>
      <c r="M25" s="9" t="s">
        <v>57</v>
      </c>
    </row>
    <row r="26" spans="1:13" ht="21" x14ac:dyDescent="0.4">
      <c r="A26" s="17" t="s">
        <v>37</v>
      </c>
    </row>
    <row r="28" spans="1:13" ht="18" x14ac:dyDescent="0.3">
      <c r="B28" s="1" t="s">
        <v>48</v>
      </c>
      <c r="C28" s="2">
        <v>653</v>
      </c>
      <c r="D28" s="5"/>
      <c r="E28" s="2">
        <v>672</v>
      </c>
      <c r="G28" s="2">
        <v>672</v>
      </c>
      <c r="I28" s="4">
        <v>2.9096477794793296E-2</v>
      </c>
      <c r="J28" s="28"/>
      <c r="K28" s="2"/>
      <c r="M28" s="4">
        <v>2.9096477794793296E-2</v>
      </c>
    </row>
    <row r="29" spans="1:13" ht="18" x14ac:dyDescent="0.3">
      <c r="B29" s="1" t="s">
        <v>49</v>
      </c>
      <c r="C29" s="2">
        <v>1029</v>
      </c>
      <c r="D29" s="5"/>
      <c r="E29" s="2">
        <v>1019</v>
      </c>
      <c r="G29" s="2">
        <v>1019</v>
      </c>
      <c r="I29" s="4">
        <v>-9.7181729834791009E-3</v>
      </c>
      <c r="J29" s="28"/>
      <c r="K29" s="2"/>
      <c r="M29" s="4">
        <v>-9.7181729834791009E-3</v>
      </c>
    </row>
    <row r="30" spans="1:13" ht="18" x14ac:dyDescent="0.3">
      <c r="B30" s="1" t="s">
        <v>50</v>
      </c>
      <c r="C30" s="2">
        <v>14205738.219999997</v>
      </c>
      <c r="D30" s="5"/>
      <c r="E30" s="2">
        <v>15054843.119999995</v>
      </c>
      <c r="G30" s="2">
        <v>15054843.119999995</v>
      </c>
      <c r="I30" s="4">
        <v>5.9771965866902921E-2</v>
      </c>
      <c r="J30" s="28"/>
      <c r="K30" s="2"/>
      <c r="M30" s="4">
        <v>5.9771965866902921E-2</v>
      </c>
    </row>
    <row r="31" spans="1:13" ht="18" x14ac:dyDescent="0.3">
      <c r="B31" s="1" t="s">
        <v>51</v>
      </c>
      <c r="C31" s="2">
        <v>1968985.5099999993</v>
      </c>
      <c r="D31" s="5"/>
      <c r="E31" s="6">
        <v>2631796.6399999997</v>
      </c>
      <c r="G31" s="6">
        <v>2631796.6399999997</v>
      </c>
      <c r="I31" s="4">
        <v>0.33662570223790045</v>
      </c>
      <c r="J31" s="28"/>
      <c r="K31" s="6"/>
      <c r="M31" s="4">
        <v>0.33662570223790045</v>
      </c>
    </row>
    <row r="32" spans="1:13" ht="18" x14ac:dyDescent="0.3">
      <c r="B32" s="11" t="s">
        <v>52</v>
      </c>
      <c r="C32" s="2">
        <v>16174723.730000002</v>
      </c>
      <c r="D32" s="5"/>
      <c r="E32" s="6">
        <v>17686639.759999994</v>
      </c>
      <c r="G32" s="6">
        <v>17686639.759999994</v>
      </c>
      <c r="I32" s="4">
        <v>9.3473994068645094E-2</v>
      </c>
      <c r="J32" s="28"/>
      <c r="K32" s="6"/>
      <c r="M32" s="4">
        <v>9.3473994068645094E-2</v>
      </c>
    </row>
    <row r="33" spans="1:20" ht="18" x14ac:dyDescent="0.3">
      <c r="B33" s="12"/>
      <c r="C33" s="13"/>
      <c r="D33" s="10"/>
      <c r="E33" s="14"/>
      <c r="G33" s="14"/>
      <c r="I33" s="15"/>
      <c r="J33" s="16"/>
      <c r="K33" s="14"/>
      <c r="M33" s="15"/>
    </row>
    <row r="34" spans="1:20" ht="25.8" x14ac:dyDescent="0.5">
      <c r="A34" s="18" t="s">
        <v>38</v>
      </c>
      <c r="B34" s="10"/>
      <c r="C34" s="19">
        <v>2024</v>
      </c>
      <c r="D34" s="20"/>
      <c r="E34" s="21">
        <v>2025</v>
      </c>
      <c r="G34" s="21">
        <v>2025</v>
      </c>
      <c r="I34" s="9" t="s">
        <v>57</v>
      </c>
      <c r="J34" s="9"/>
      <c r="K34" s="21"/>
      <c r="M34" s="9" t="s">
        <v>57</v>
      </c>
    </row>
    <row r="36" spans="1:20" ht="18" x14ac:dyDescent="0.3">
      <c r="B36" s="1" t="s">
        <v>48</v>
      </c>
      <c r="C36" s="2">
        <v>287</v>
      </c>
      <c r="D36" s="5"/>
      <c r="E36" s="2">
        <v>260</v>
      </c>
      <c r="F36" s="22"/>
      <c r="G36" s="2">
        <v>260</v>
      </c>
      <c r="H36" s="22"/>
      <c r="I36" s="4">
        <v>-9.4076655052264813E-2</v>
      </c>
      <c r="J36" s="28"/>
      <c r="K36" s="2"/>
      <c r="M36" s="4">
        <v>-9.4076655052264813E-2</v>
      </c>
    </row>
    <row r="37" spans="1:20" ht="18" x14ac:dyDescent="0.3">
      <c r="B37" s="1" t="s">
        <v>53</v>
      </c>
      <c r="C37" s="2">
        <v>386</v>
      </c>
      <c r="D37" s="5"/>
      <c r="E37" s="2">
        <v>361.5</v>
      </c>
      <c r="F37" s="22"/>
      <c r="G37" s="2">
        <v>361.5</v>
      </c>
      <c r="H37" s="22"/>
      <c r="I37" s="4">
        <v>-6.3471502590673579E-2</v>
      </c>
      <c r="J37" s="28"/>
      <c r="K37" s="2"/>
      <c r="M37" s="4">
        <v>-6.3471502590673579E-2</v>
      </c>
    </row>
    <row r="38" spans="1:20" ht="18" x14ac:dyDescent="0.3">
      <c r="B38" s="1" t="s">
        <v>54</v>
      </c>
      <c r="C38" s="2">
        <v>13184225.949999988</v>
      </c>
      <c r="D38" s="5"/>
      <c r="E38" s="2">
        <v>16841996.880000003</v>
      </c>
      <c r="F38" s="22"/>
      <c r="G38" s="2">
        <v>16841996.880000003</v>
      </c>
      <c r="H38" s="22"/>
      <c r="I38" s="4">
        <v>0.27743539468087008</v>
      </c>
      <c r="J38" s="28"/>
      <c r="K38" s="2"/>
      <c r="M38" s="4">
        <v>0.27743539468087008</v>
      </c>
    </row>
    <row r="39" spans="1:20" ht="18" x14ac:dyDescent="0.3">
      <c r="B39" s="1" t="s">
        <v>55</v>
      </c>
      <c r="C39" s="2">
        <v>4897379.879999999</v>
      </c>
      <c r="D39" s="5"/>
      <c r="E39" s="2">
        <v>3990498.3700000006</v>
      </c>
      <c r="F39" s="22"/>
      <c r="G39" s="2">
        <v>3990498.3700000006</v>
      </c>
      <c r="H39" s="22"/>
      <c r="I39" s="4">
        <v>-0.18517687666083171</v>
      </c>
      <c r="J39" s="28"/>
      <c r="K39" s="2"/>
      <c r="M39" s="4">
        <v>-0.18517687666083171</v>
      </c>
    </row>
    <row r="40" spans="1:20" ht="18" x14ac:dyDescent="0.3">
      <c r="B40" s="11" t="s">
        <v>56</v>
      </c>
      <c r="C40" s="2">
        <v>18081605.829999987</v>
      </c>
      <c r="D40" s="5"/>
      <c r="E40" s="2">
        <v>20832495.249999996</v>
      </c>
      <c r="F40" s="22"/>
      <c r="G40" s="2">
        <v>20832495.249999996</v>
      </c>
      <c r="H40" s="22"/>
      <c r="I40" s="4">
        <v>0.15213745094674547</v>
      </c>
      <c r="J40" s="28"/>
      <c r="K40" s="2"/>
      <c r="M40" s="4">
        <v>0.15213745094674547</v>
      </c>
    </row>
    <row r="46" spans="1:20" ht="42" x14ac:dyDescent="0.4">
      <c r="A46" t="s">
        <v>47</v>
      </c>
      <c r="C46" s="19" t="s">
        <v>78</v>
      </c>
      <c r="D46" s="20"/>
      <c r="E46" s="27" t="s">
        <v>61</v>
      </c>
      <c r="F46" s="8" t="s">
        <v>57</v>
      </c>
      <c r="H46" s="19" t="s">
        <v>132</v>
      </c>
      <c r="J46" s="19" t="s">
        <v>61</v>
      </c>
      <c r="K46" s="19" t="s">
        <v>57</v>
      </c>
      <c r="L46" s="19"/>
      <c r="N46" s="26" t="s">
        <v>133</v>
      </c>
      <c r="O46" s="26" t="s">
        <v>61</v>
      </c>
      <c r="P46" s="26" t="s">
        <v>57</v>
      </c>
      <c r="Q46" s="9"/>
      <c r="R46" s="27" t="s">
        <v>61</v>
      </c>
      <c r="T46" s="9" t="s">
        <v>57</v>
      </c>
    </row>
    <row r="47" spans="1:20" ht="21" x14ac:dyDescent="0.4">
      <c r="A47" s="17" t="s">
        <v>37</v>
      </c>
    </row>
    <row r="49" spans="1:20" ht="18" x14ac:dyDescent="0.3">
      <c r="B49" s="1" t="s">
        <v>48</v>
      </c>
      <c r="C49" s="2">
        <v>653</v>
      </c>
      <c r="D49" s="5"/>
      <c r="E49" s="30"/>
      <c r="F49" s="29">
        <v>2.9096477794793296E-2</v>
      </c>
      <c r="G49" s="28"/>
      <c r="H49" s="2">
        <v>672</v>
      </c>
      <c r="J49" s="30"/>
      <c r="K49" s="35">
        <v>2.9096477794793296E-2</v>
      </c>
      <c r="M49" s="2">
        <v>672</v>
      </c>
      <c r="O49" s="30"/>
      <c r="P49" s="4">
        <v>2.9096477794793296E-2</v>
      </c>
      <c r="Q49" s="28"/>
      <c r="R49" s="2"/>
      <c r="T49" s="4">
        <v>2.9096477794793296E-2</v>
      </c>
    </row>
    <row r="50" spans="1:20" ht="18" x14ac:dyDescent="0.3">
      <c r="B50" s="1" t="s">
        <v>49</v>
      </c>
      <c r="C50" s="2">
        <v>1029</v>
      </c>
      <c r="D50" s="5"/>
      <c r="E50" s="30"/>
      <c r="F50" s="29">
        <v>-9.7181729834791009E-3</v>
      </c>
      <c r="G50" s="28"/>
      <c r="H50" s="2">
        <v>1019</v>
      </c>
      <c r="J50" s="30"/>
      <c r="K50" s="35">
        <v>-9.7181729834791009E-3</v>
      </c>
      <c r="M50" s="2">
        <v>1019</v>
      </c>
      <c r="O50" s="30"/>
      <c r="P50" s="4">
        <v>-9.7181729834791009E-3</v>
      </c>
      <c r="Q50" s="28"/>
      <c r="R50" s="2"/>
      <c r="T50" s="4">
        <v>-9.7181729834791009E-3</v>
      </c>
    </row>
    <row r="51" spans="1:20" ht="18" x14ac:dyDescent="0.3">
      <c r="B51" s="1" t="s">
        <v>50</v>
      </c>
      <c r="C51" s="2">
        <v>14205738.219999997</v>
      </c>
      <c r="D51" s="5"/>
      <c r="E51" s="30"/>
      <c r="F51" s="29">
        <v>5.9771965866902921E-2</v>
      </c>
      <c r="G51" s="28"/>
      <c r="H51" s="2">
        <v>15054843.119999995</v>
      </c>
      <c r="J51" s="30"/>
      <c r="K51" s="35">
        <v>5.9771965866902921E-2</v>
      </c>
      <c r="M51" s="2">
        <v>15054843.119999995</v>
      </c>
      <c r="O51" s="30"/>
      <c r="P51" s="4">
        <v>5.9771965866902921E-2</v>
      </c>
      <c r="Q51" s="28"/>
      <c r="R51" s="2"/>
      <c r="T51" s="4">
        <v>5.9771965866902921E-2</v>
      </c>
    </row>
    <row r="52" spans="1:20" ht="18" x14ac:dyDescent="0.3">
      <c r="B52" s="1" t="s">
        <v>51</v>
      </c>
      <c r="C52" s="2">
        <v>1968985.5099999993</v>
      </c>
      <c r="D52" s="5"/>
      <c r="E52" s="31"/>
      <c r="F52" s="29">
        <v>0.33662570223790045</v>
      </c>
      <c r="G52" s="28"/>
      <c r="H52" s="6">
        <v>2631796.6399999997</v>
      </c>
      <c r="J52" s="31"/>
      <c r="K52" s="35">
        <v>0.33662570223790045</v>
      </c>
      <c r="M52" s="6">
        <v>2631796.6399999997</v>
      </c>
      <c r="O52" s="31"/>
      <c r="P52" s="4">
        <v>0.33662570223790045</v>
      </c>
      <c r="Q52" s="28"/>
      <c r="R52" s="6"/>
      <c r="T52" s="4">
        <v>0.33662570223790045</v>
      </c>
    </row>
    <row r="53" spans="1:20" ht="18" x14ac:dyDescent="0.3">
      <c r="B53" s="11" t="s">
        <v>52</v>
      </c>
      <c r="C53" s="2">
        <v>16174723.730000002</v>
      </c>
      <c r="D53" s="5"/>
      <c r="E53" s="31"/>
      <c r="F53" s="29">
        <v>9.3473994068645094E-2</v>
      </c>
      <c r="G53" s="28"/>
      <c r="H53" s="6">
        <v>17686639.759999994</v>
      </c>
      <c r="J53" s="31"/>
      <c r="K53" s="35">
        <v>9.3473994068645094E-2</v>
      </c>
      <c r="M53" s="6">
        <v>17686639.759999994</v>
      </c>
      <c r="O53" s="31"/>
      <c r="P53" s="4">
        <v>9.3473994068645094E-2</v>
      </c>
      <c r="Q53" s="28"/>
      <c r="R53" s="6"/>
      <c r="T53" s="4">
        <v>9.3473994068645094E-2</v>
      </c>
    </row>
    <row r="54" spans="1:20" ht="18" x14ac:dyDescent="0.3">
      <c r="B54" s="12"/>
      <c r="C54" s="13"/>
      <c r="D54" s="10"/>
      <c r="E54" s="32"/>
      <c r="F54" s="15"/>
      <c r="G54" s="15"/>
      <c r="H54" s="14"/>
      <c r="J54" s="32"/>
      <c r="K54" s="15"/>
      <c r="M54" s="14"/>
      <c r="O54" s="32"/>
      <c r="P54" s="15"/>
      <c r="Q54" s="16"/>
      <c r="R54" s="14"/>
      <c r="T54" s="15"/>
    </row>
    <row r="55" spans="1:20" ht="25.8" x14ac:dyDescent="0.5">
      <c r="A55" s="18" t="s">
        <v>38</v>
      </c>
      <c r="B55" s="10"/>
      <c r="C55" s="19" t="s">
        <v>78</v>
      </c>
      <c r="D55" s="20"/>
      <c r="E55" s="33"/>
      <c r="F55" s="9" t="s">
        <v>57</v>
      </c>
      <c r="G55" s="9"/>
      <c r="H55" s="21" t="s">
        <v>132</v>
      </c>
      <c r="J55" s="33"/>
      <c r="K55" s="9" t="s">
        <v>57</v>
      </c>
      <c r="M55" s="21" t="s">
        <v>133</v>
      </c>
      <c r="O55" s="33"/>
      <c r="P55" s="9" t="s">
        <v>57</v>
      </c>
      <c r="Q55" s="9"/>
      <c r="R55" s="21"/>
      <c r="T55" s="9" t="s">
        <v>57</v>
      </c>
    </row>
    <row r="56" spans="1:20" x14ac:dyDescent="0.3">
      <c r="E56" s="34"/>
      <c r="J56" s="34"/>
      <c r="O56" s="34"/>
    </row>
    <row r="57" spans="1:20" ht="18" x14ac:dyDescent="0.3">
      <c r="B57" s="1" t="s">
        <v>48</v>
      </c>
      <c r="C57" s="2">
        <v>287</v>
      </c>
      <c r="D57" s="5"/>
      <c r="E57" s="30"/>
      <c r="F57" s="29">
        <v>-9.4076655052264813E-2</v>
      </c>
      <c r="G57" s="28"/>
      <c r="H57" s="2">
        <v>260</v>
      </c>
      <c r="I57" s="22"/>
      <c r="J57" s="30"/>
      <c r="K57" s="35">
        <v>-9.4076655052264813E-2</v>
      </c>
      <c r="M57" s="2">
        <v>260</v>
      </c>
      <c r="N57" s="22"/>
      <c r="O57" s="30"/>
      <c r="P57" s="4">
        <v>-9.4076655052264813E-2</v>
      </c>
      <c r="Q57" s="28"/>
      <c r="R57" s="2"/>
      <c r="T57" s="4">
        <v>-9.4076655052264813E-2</v>
      </c>
    </row>
    <row r="58" spans="1:20" ht="18" x14ac:dyDescent="0.3">
      <c r="B58" s="1" t="s">
        <v>53</v>
      </c>
      <c r="C58" s="2">
        <v>386</v>
      </c>
      <c r="D58" s="5"/>
      <c r="E58" s="30"/>
      <c r="F58" s="29">
        <v>-6.3471502590673579E-2</v>
      </c>
      <c r="G58" s="28"/>
      <c r="H58" s="2">
        <v>361.5</v>
      </c>
      <c r="I58" s="22"/>
      <c r="J58" s="30"/>
      <c r="K58" s="35">
        <v>-6.3471502590673579E-2</v>
      </c>
      <c r="M58" s="2">
        <v>361.5</v>
      </c>
      <c r="N58" s="22"/>
      <c r="O58" s="30"/>
      <c r="P58" s="4">
        <v>-6.3471502590673579E-2</v>
      </c>
      <c r="Q58" s="28"/>
      <c r="R58" s="2"/>
      <c r="T58" s="4">
        <v>-6.3471502590673579E-2</v>
      </c>
    </row>
    <row r="59" spans="1:20" ht="18" x14ac:dyDescent="0.3">
      <c r="B59" s="1" t="s">
        <v>54</v>
      </c>
      <c r="C59" s="2">
        <v>13184225.949999988</v>
      </c>
      <c r="D59" s="5"/>
      <c r="E59" s="30"/>
      <c r="F59" s="29">
        <v>0.27743539468087008</v>
      </c>
      <c r="G59" s="28"/>
      <c r="H59" s="2">
        <v>16841996.880000003</v>
      </c>
      <c r="I59" s="22"/>
      <c r="J59" s="30"/>
      <c r="K59" s="35">
        <v>0.27743539468087008</v>
      </c>
      <c r="L59" s="5"/>
      <c r="M59" s="2">
        <v>16841996.880000003</v>
      </c>
      <c r="N59" s="22"/>
      <c r="O59" s="30"/>
      <c r="P59" s="4">
        <v>0.27743539468087008</v>
      </c>
      <c r="Q59" s="28"/>
      <c r="R59" s="2"/>
      <c r="T59" s="4">
        <v>0.27743539468087008</v>
      </c>
    </row>
    <row r="60" spans="1:20" ht="18" x14ac:dyDescent="0.3">
      <c r="B60" s="1" t="s">
        <v>55</v>
      </c>
      <c r="C60" s="2">
        <v>4897379.879999999</v>
      </c>
      <c r="D60" s="5"/>
      <c r="E60" s="30"/>
      <c r="F60" s="29">
        <v>-0.18517687666083171</v>
      </c>
      <c r="G60" s="28"/>
      <c r="H60" s="2">
        <v>3990498.3700000006</v>
      </c>
      <c r="I60" s="22"/>
      <c r="J60" s="30"/>
      <c r="K60" s="35">
        <v>-0.18517687666083171</v>
      </c>
      <c r="L60" s="5"/>
      <c r="M60" s="2">
        <v>3990498.3700000006</v>
      </c>
      <c r="N60" s="22"/>
      <c r="O60" s="30"/>
      <c r="P60" s="4">
        <v>-0.18517687666083171</v>
      </c>
      <c r="Q60" s="28"/>
      <c r="R60" s="2"/>
      <c r="T60" s="4">
        <v>-0.18517687666083171</v>
      </c>
    </row>
    <row r="61" spans="1:20" ht="18" x14ac:dyDescent="0.3">
      <c r="B61" s="11" t="s">
        <v>56</v>
      </c>
      <c r="C61" s="2">
        <v>18081605.829999987</v>
      </c>
      <c r="D61" s="5"/>
      <c r="E61" s="30"/>
      <c r="F61" s="29">
        <v>0.15213745094674547</v>
      </c>
      <c r="G61" s="28"/>
      <c r="H61" s="2">
        <v>20832495.249999996</v>
      </c>
      <c r="I61" s="22"/>
      <c r="J61" s="30"/>
      <c r="K61" s="35">
        <v>0.15213745094674547</v>
      </c>
      <c r="L61" s="5"/>
      <c r="M61" s="2">
        <v>20832495.249999996</v>
      </c>
      <c r="N61" s="22"/>
      <c r="O61" s="30"/>
      <c r="P61" s="4">
        <v>0.15213745094674547</v>
      </c>
      <c r="Q61" s="28"/>
      <c r="R61" s="2"/>
      <c r="T61" s="4">
        <v>0.15213745094674547</v>
      </c>
    </row>
    <row r="62" spans="1:20" ht="18" x14ac:dyDescent="0.3">
      <c r="L62" s="10"/>
    </row>
    <row r="63" spans="1:20" ht="18" x14ac:dyDescent="0.3">
      <c r="L63" s="10"/>
    </row>
  </sheetData>
  <mergeCells count="3">
    <mergeCell ref="I2:I7"/>
    <mergeCell ref="J2:J7"/>
    <mergeCell ref="B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25BA9-38A9-4DE5-B37B-5B4180253840}">
  <dimension ref="A1:AU37"/>
  <sheetViews>
    <sheetView workbookViewId="0">
      <selection activeCell="B8" sqref="B8:F9"/>
    </sheetView>
  </sheetViews>
  <sheetFormatPr baseColWidth="10" defaultRowHeight="14.4" x14ac:dyDescent="0.3"/>
  <cols>
    <col min="2" max="2" width="10.5546875" bestFit="1" customWidth="1"/>
    <col min="3" max="3" width="8.109375" bestFit="1" customWidth="1"/>
    <col min="4" max="4" width="38.5546875" bestFit="1" customWidth="1"/>
    <col min="5" max="5" width="19.77734375" bestFit="1" customWidth="1"/>
    <col min="6" max="6" width="19.109375" bestFit="1" customWidth="1"/>
    <col min="7" max="7" width="18.33203125" bestFit="1" customWidth="1"/>
    <col min="8" max="8" width="11.33203125" bestFit="1" customWidth="1"/>
    <col min="9" max="9" width="18.33203125" bestFit="1" customWidth="1"/>
    <col min="10" max="10" width="10" bestFit="1" customWidth="1"/>
    <col min="11" max="11" width="8.33203125" bestFit="1" customWidth="1"/>
    <col min="12" max="12" width="16.44140625" bestFit="1" customWidth="1"/>
    <col min="13" max="13" width="10" bestFit="1" customWidth="1"/>
    <col min="14" max="14" width="10.33203125" bestFit="1" customWidth="1"/>
    <col min="15" max="16" width="16.44140625" bestFit="1" customWidth="1"/>
    <col min="17" max="17" width="11.33203125" bestFit="1" customWidth="1"/>
    <col min="19" max="19" width="16.44140625" bestFit="1" customWidth="1"/>
    <col min="20" max="21" width="15" bestFit="1" customWidth="1"/>
    <col min="22" max="22" width="10" bestFit="1" customWidth="1"/>
    <col min="23" max="23" width="7" bestFit="1" customWidth="1"/>
    <col min="24" max="24" width="13" bestFit="1" customWidth="1"/>
    <col min="25" max="25" width="11.6640625" bestFit="1" customWidth="1"/>
    <col min="26" max="26" width="13" bestFit="1" customWidth="1"/>
    <col min="27" max="27" width="10" bestFit="1" customWidth="1"/>
    <col min="28" max="28" width="7" bestFit="1" customWidth="1"/>
    <col min="29" max="29" width="17.77734375" bestFit="1" customWidth="1"/>
    <col min="30" max="30" width="16.44140625" bestFit="1" customWidth="1"/>
    <col min="31" max="31" width="17.77734375" bestFit="1" customWidth="1"/>
    <col min="32" max="34" width="10.33203125" bestFit="1" customWidth="1"/>
    <col min="35" max="35" width="10" bestFit="1" customWidth="1"/>
    <col min="36" max="36" width="10.33203125" bestFit="1" customWidth="1"/>
    <col min="37" max="37" width="16.44140625" bestFit="1" customWidth="1"/>
    <col min="38" max="38" width="15" bestFit="1" customWidth="1"/>
    <col min="39" max="39" width="19.109375" bestFit="1" customWidth="1"/>
    <col min="40" max="40" width="10" bestFit="1" customWidth="1"/>
    <col min="41" max="41" width="10.33203125" bestFit="1" customWidth="1"/>
    <col min="42" max="42" width="17.77734375" bestFit="1" customWidth="1"/>
    <col min="43" max="43" width="16.44140625" bestFit="1" customWidth="1"/>
    <col min="44" max="44" width="19.109375" bestFit="1" customWidth="1"/>
    <col min="45" max="47" width="10.33203125" bestFit="1" customWidth="1"/>
  </cols>
  <sheetData>
    <row r="1" spans="1:47" ht="15" thickBot="1" x14ac:dyDescent="0.35">
      <c r="A1" s="90" t="s">
        <v>58</v>
      </c>
      <c r="B1" s="93"/>
      <c r="C1" s="23" t="s">
        <v>39</v>
      </c>
      <c r="D1" s="24"/>
      <c r="E1" s="25" t="s">
        <v>45</v>
      </c>
    </row>
    <row r="2" spans="1:47" ht="15" thickBot="1" x14ac:dyDescent="0.35">
      <c r="A2" s="91"/>
      <c r="B2" s="94"/>
      <c r="C2" s="23" t="s">
        <v>40</v>
      </c>
      <c r="D2" s="24"/>
      <c r="E2" s="25" t="s">
        <v>45</v>
      </c>
    </row>
    <row r="3" spans="1:47" ht="15" thickBot="1" x14ac:dyDescent="0.35">
      <c r="A3" s="91"/>
      <c r="B3" s="94"/>
      <c r="C3" s="23" t="s">
        <v>41</v>
      </c>
      <c r="D3" s="24"/>
      <c r="E3" s="25" t="s">
        <v>47</v>
      </c>
    </row>
    <row r="4" spans="1:47" ht="15" thickBot="1" x14ac:dyDescent="0.35">
      <c r="A4" s="91"/>
      <c r="B4" s="94"/>
      <c r="C4" s="23" t="s">
        <v>42</v>
      </c>
      <c r="D4" s="24"/>
      <c r="E4" s="25" t="s">
        <v>47</v>
      </c>
      <c r="F4" t="s">
        <v>131</v>
      </c>
    </row>
    <row r="5" spans="1:47" ht="15" thickBot="1" x14ac:dyDescent="0.35">
      <c r="A5" s="91"/>
      <c r="B5" s="94"/>
      <c r="C5" s="23" t="s">
        <v>44</v>
      </c>
      <c r="D5" s="24"/>
      <c r="E5" s="25" t="s">
        <v>47</v>
      </c>
      <c r="F5" t="s">
        <v>130</v>
      </c>
    </row>
    <row r="6" spans="1:47" ht="15" thickBot="1" x14ac:dyDescent="0.35">
      <c r="A6" s="92"/>
      <c r="B6" s="95"/>
      <c r="C6" s="23" t="s">
        <v>43</v>
      </c>
      <c r="D6" s="24"/>
      <c r="E6" s="25" t="s">
        <v>46</v>
      </c>
      <c r="F6" t="s">
        <v>130</v>
      </c>
    </row>
    <row r="8" spans="1:47" ht="18" x14ac:dyDescent="0.35">
      <c r="B8" s="36"/>
      <c r="C8" s="36"/>
      <c r="D8" s="37"/>
      <c r="E8" s="37"/>
      <c r="F8" s="37"/>
      <c r="G8" s="37"/>
      <c r="H8" s="37"/>
      <c r="I8" s="37"/>
      <c r="J8" s="38">
        <v>260</v>
      </c>
      <c r="K8" s="38">
        <v>361.5</v>
      </c>
      <c r="L8" s="38">
        <v>20832495.249999996</v>
      </c>
      <c r="M8" s="38">
        <v>672</v>
      </c>
      <c r="N8" s="38">
        <v>1019</v>
      </c>
      <c r="O8" s="38">
        <v>17686639.75999999</v>
      </c>
      <c r="P8" s="38">
        <v>38519135.009999983</v>
      </c>
      <c r="Q8" s="38">
        <v>559</v>
      </c>
      <c r="R8" s="38">
        <v>437</v>
      </c>
      <c r="S8" s="38">
        <v>13345000</v>
      </c>
      <c r="T8" s="38">
        <v>7331358.8300000001</v>
      </c>
      <c r="U8" s="38">
        <v>4811152</v>
      </c>
      <c r="V8" s="39">
        <v>653</v>
      </c>
      <c r="W8" s="39">
        <v>1029</v>
      </c>
      <c r="X8" s="39">
        <v>14205738.219999997</v>
      </c>
      <c r="Y8" s="39">
        <v>1968985.5099999993</v>
      </c>
      <c r="Z8" s="39">
        <v>16174723.730000002</v>
      </c>
      <c r="AA8" s="39">
        <v>672</v>
      </c>
      <c r="AB8" s="39">
        <v>1019</v>
      </c>
      <c r="AC8" s="40">
        <v>15054843.119999995</v>
      </c>
      <c r="AD8" s="40">
        <v>2631796.6399999997</v>
      </c>
      <c r="AE8" s="40">
        <v>17686639.75999999</v>
      </c>
      <c r="AF8" s="41">
        <v>2.9096477794793296E-2</v>
      </c>
      <c r="AG8" s="41">
        <v>-9.7181729834791009E-3</v>
      </c>
      <c r="AH8" s="41">
        <v>9.3473994068644872E-2</v>
      </c>
      <c r="AI8" s="38">
        <v>287</v>
      </c>
      <c r="AJ8" s="38">
        <v>386</v>
      </c>
      <c r="AK8" s="38">
        <v>13184225.949999988</v>
      </c>
      <c r="AL8" s="38">
        <v>4897379.879999999</v>
      </c>
      <c r="AM8" s="38">
        <v>18081605.829999987</v>
      </c>
      <c r="AN8" s="38">
        <v>260</v>
      </c>
      <c r="AO8" s="38">
        <v>361.5</v>
      </c>
      <c r="AP8" s="40">
        <v>16841996.880000003</v>
      </c>
      <c r="AQ8" s="40">
        <v>3990498.3700000006</v>
      </c>
      <c r="AR8" s="40">
        <v>20832495.249999996</v>
      </c>
      <c r="AS8" s="41">
        <v>-9.4076655052264813E-2</v>
      </c>
      <c r="AT8" s="41">
        <v>-6.3471502590673579E-2</v>
      </c>
      <c r="AU8" s="41">
        <v>0.15213745094674547</v>
      </c>
    </row>
    <row r="9" spans="1:47" ht="126" x14ac:dyDescent="0.3">
      <c r="B9" s="42" t="s">
        <v>66</v>
      </c>
      <c r="C9" s="43" t="s">
        <v>67</v>
      </c>
      <c r="D9" s="44" t="s">
        <v>68</v>
      </c>
      <c r="E9" s="44" t="s">
        <v>69</v>
      </c>
      <c r="F9" s="44" t="s">
        <v>70</v>
      </c>
      <c r="G9" s="44" t="s">
        <v>71</v>
      </c>
      <c r="H9" s="44" t="s">
        <v>72</v>
      </c>
      <c r="I9" s="44" t="s">
        <v>73</v>
      </c>
      <c r="J9" s="45" t="s">
        <v>0</v>
      </c>
      <c r="K9" s="45" t="s">
        <v>1</v>
      </c>
      <c r="L9" s="45" t="s">
        <v>2</v>
      </c>
      <c r="M9" s="45" t="s">
        <v>3</v>
      </c>
      <c r="N9" s="45" t="s">
        <v>4</v>
      </c>
      <c r="O9" s="45" t="s">
        <v>5</v>
      </c>
      <c r="P9" s="46" t="s">
        <v>6</v>
      </c>
      <c r="Q9" s="45" t="s">
        <v>7</v>
      </c>
      <c r="R9" s="45" t="s">
        <v>8</v>
      </c>
      <c r="S9" s="45" t="s">
        <v>9</v>
      </c>
      <c r="T9" s="47" t="s">
        <v>10</v>
      </c>
      <c r="U9" s="45" t="s">
        <v>11</v>
      </c>
      <c r="V9" s="48" t="s">
        <v>12</v>
      </c>
      <c r="W9" s="48" t="s">
        <v>13</v>
      </c>
      <c r="X9" s="49" t="s">
        <v>14</v>
      </c>
      <c r="Y9" s="50" t="s">
        <v>15</v>
      </c>
      <c r="Z9" s="50" t="s">
        <v>16</v>
      </c>
      <c r="AA9" s="48" t="s">
        <v>17</v>
      </c>
      <c r="AB9" s="48" t="s">
        <v>18</v>
      </c>
      <c r="AC9" s="50" t="s">
        <v>19</v>
      </c>
      <c r="AD9" s="50" t="s">
        <v>20</v>
      </c>
      <c r="AE9" s="50" t="s">
        <v>21</v>
      </c>
      <c r="AF9" s="51" t="s">
        <v>22</v>
      </c>
      <c r="AG9" s="51" t="s">
        <v>23</v>
      </c>
      <c r="AH9" s="51" t="s">
        <v>24</v>
      </c>
      <c r="AI9" s="52" t="s">
        <v>25</v>
      </c>
      <c r="AJ9" s="52" t="s">
        <v>26</v>
      </c>
      <c r="AK9" s="53" t="s">
        <v>27</v>
      </c>
      <c r="AL9" s="54" t="s">
        <v>28</v>
      </c>
      <c r="AM9" s="55" t="s">
        <v>29</v>
      </c>
      <c r="AN9" s="54" t="s">
        <v>30</v>
      </c>
      <c r="AO9" s="54" t="s">
        <v>31</v>
      </c>
      <c r="AP9" s="54" t="s">
        <v>32</v>
      </c>
      <c r="AQ9" s="54" t="s">
        <v>33</v>
      </c>
      <c r="AR9" s="55" t="s">
        <v>34</v>
      </c>
      <c r="AS9" s="56" t="s">
        <v>22</v>
      </c>
      <c r="AT9" s="56" t="s">
        <v>35</v>
      </c>
      <c r="AU9" s="56" t="s">
        <v>36</v>
      </c>
    </row>
    <row r="10" spans="1:47" ht="21" x14ac:dyDescent="0.4">
      <c r="B10" s="57">
        <v>644717</v>
      </c>
      <c r="C10" s="58">
        <v>644717</v>
      </c>
      <c r="D10" s="59" t="s">
        <v>74</v>
      </c>
      <c r="E10" s="59" t="s">
        <v>75</v>
      </c>
      <c r="F10" s="59" t="s">
        <v>76</v>
      </c>
      <c r="G10" s="59" t="s">
        <v>77</v>
      </c>
      <c r="H10" s="59" t="s">
        <v>78</v>
      </c>
      <c r="I10" s="59" t="s">
        <v>79</v>
      </c>
      <c r="J10" s="60">
        <v>20</v>
      </c>
      <c r="K10" s="60">
        <v>38</v>
      </c>
      <c r="L10" s="61">
        <v>2947909.49</v>
      </c>
      <c r="M10" s="60">
        <v>0</v>
      </c>
      <c r="N10" s="60">
        <v>0</v>
      </c>
      <c r="O10" s="61">
        <v>0</v>
      </c>
      <c r="P10" s="62">
        <v>2947909.49</v>
      </c>
      <c r="Q10" s="63">
        <v>0</v>
      </c>
      <c r="R10" s="64">
        <v>0</v>
      </c>
      <c r="S10" s="65">
        <v>0</v>
      </c>
      <c r="T10" s="66">
        <v>0</v>
      </c>
      <c r="U10" s="67">
        <v>0</v>
      </c>
      <c r="V10" s="68">
        <v>0</v>
      </c>
      <c r="W10" s="68">
        <v>0</v>
      </c>
      <c r="X10" s="69">
        <v>0</v>
      </c>
      <c r="Y10" s="69">
        <v>0</v>
      </c>
      <c r="Z10" s="69">
        <v>0</v>
      </c>
      <c r="AA10" s="70">
        <v>0</v>
      </c>
      <c r="AB10" s="71">
        <v>0</v>
      </c>
      <c r="AC10" s="69">
        <v>0</v>
      </c>
      <c r="AD10" s="69">
        <v>0</v>
      </c>
      <c r="AE10" s="69">
        <v>0</v>
      </c>
      <c r="AF10" s="72">
        <v>0</v>
      </c>
      <c r="AG10" s="72">
        <v>0</v>
      </c>
      <c r="AH10" s="72">
        <v>0</v>
      </c>
      <c r="AI10" s="70">
        <v>19</v>
      </c>
      <c r="AJ10" s="70">
        <v>33</v>
      </c>
      <c r="AK10" s="69">
        <v>2708061.1099999994</v>
      </c>
      <c r="AL10" s="69">
        <v>86787.67</v>
      </c>
      <c r="AM10" s="69">
        <v>2794848.7799999993</v>
      </c>
      <c r="AN10" s="70">
        <v>20</v>
      </c>
      <c r="AO10" s="70">
        <v>38</v>
      </c>
      <c r="AP10" s="69">
        <v>2850861.22</v>
      </c>
      <c r="AQ10" s="69">
        <v>97048.26999999999</v>
      </c>
      <c r="AR10" s="69">
        <v>2947909.49</v>
      </c>
      <c r="AS10" s="72">
        <v>5.2631578947368363E-2</v>
      </c>
      <c r="AT10" s="72">
        <v>0.1515151515151516</v>
      </c>
      <c r="AU10" s="72">
        <v>5.4765292167256785E-2</v>
      </c>
    </row>
    <row r="11" spans="1:47" ht="21" x14ac:dyDescent="0.4">
      <c r="B11" s="57">
        <v>625328</v>
      </c>
      <c r="C11" s="73">
        <v>625328</v>
      </c>
      <c r="D11" s="59" t="s">
        <v>80</v>
      </c>
      <c r="E11" s="59" t="s">
        <v>81</v>
      </c>
      <c r="F11" s="59">
        <v>0</v>
      </c>
      <c r="G11" s="59" t="s">
        <v>77</v>
      </c>
      <c r="H11" s="59" t="s">
        <v>78</v>
      </c>
      <c r="I11" s="59" t="s">
        <v>79</v>
      </c>
      <c r="J11" s="60">
        <v>21</v>
      </c>
      <c r="K11" s="60">
        <v>33.5</v>
      </c>
      <c r="L11" s="61">
        <v>2632709.8900000006</v>
      </c>
      <c r="M11" s="60">
        <v>29</v>
      </c>
      <c r="N11" s="60">
        <v>50</v>
      </c>
      <c r="O11" s="61">
        <v>795472.53000000014</v>
      </c>
      <c r="P11" s="62">
        <v>3428182.4200000009</v>
      </c>
      <c r="Q11" s="63">
        <v>0</v>
      </c>
      <c r="R11" s="64">
        <v>0</v>
      </c>
      <c r="S11" s="65">
        <v>0</v>
      </c>
      <c r="T11" s="74">
        <v>0</v>
      </c>
      <c r="U11" s="67">
        <v>0</v>
      </c>
      <c r="V11" s="68">
        <v>29</v>
      </c>
      <c r="W11" s="68">
        <v>57</v>
      </c>
      <c r="X11" s="69">
        <v>896412.94000000006</v>
      </c>
      <c r="Y11" s="69">
        <v>63783.86</v>
      </c>
      <c r="Z11" s="69">
        <v>960196.8</v>
      </c>
      <c r="AA11" s="70">
        <v>29</v>
      </c>
      <c r="AB11" s="71">
        <v>50</v>
      </c>
      <c r="AC11" s="69">
        <v>700436.45000000019</v>
      </c>
      <c r="AD11" s="69">
        <v>95036.08</v>
      </c>
      <c r="AE11" s="69">
        <v>795472.53000000014</v>
      </c>
      <c r="AF11" s="72">
        <v>0</v>
      </c>
      <c r="AG11" s="72">
        <v>-0.1228070175438597</v>
      </c>
      <c r="AH11" s="72">
        <v>-0.17155261296434221</v>
      </c>
      <c r="AI11" s="70">
        <v>20</v>
      </c>
      <c r="AJ11" s="70">
        <v>33</v>
      </c>
      <c r="AK11" s="69">
        <v>1791773.64</v>
      </c>
      <c r="AL11" s="69">
        <v>42173.850000000013</v>
      </c>
      <c r="AM11" s="69">
        <v>1833947.49</v>
      </c>
      <c r="AN11" s="70">
        <v>21</v>
      </c>
      <c r="AO11" s="70">
        <v>33.5</v>
      </c>
      <c r="AP11" s="69">
        <v>2550661.9100000006</v>
      </c>
      <c r="AQ11" s="69">
        <v>82047.98</v>
      </c>
      <c r="AR11" s="69">
        <v>2632709.8900000006</v>
      </c>
      <c r="AS11" s="72">
        <v>5.0000000000000044E-2</v>
      </c>
      <c r="AT11" s="72">
        <v>1.5151515151515138E-2</v>
      </c>
      <c r="AU11" s="72">
        <v>0.43554267739694152</v>
      </c>
    </row>
    <row r="12" spans="1:47" ht="21" x14ac:dyDescent="0.4">
      <c r="B12" s="57">
        <v>629094</v>
      </c>
      <c r="C12" s="73">
        <v>629094</v>
      </c>
      <c r="D12" s="59" t="s">
        <v>82</v>
      </c>
      <c r="E12" s="59" t="s">
        <v>81</v>
      </c>
      <c r="F12" s="59">
        <v>0</v>
      </c>
      <c r="G12" s="59" t="s">
        <v>83</v>
      </c>
      <c r="H12" s="59" t="s">
        <v>78</v>
      </c>
      <c r="I12" s="59" t="s">
        <v>79</v>
      </c>
      <c r="J12" s="60">
        <v>22</v>
      </c>
      <c r="K12" s="60">
        <v>42</v>
      </c>
      <c r="L12" s="61">
        <v>4261364.83</v>
      </c>
      <c r="M12" s="60">
        <v>19</v>
      </c>
      <c r="N12" s="60">
        <v>32</v>
      </c>
      <c r="O12" s="61">
        <v>531456.83999999985</v>
      </c>
      <c r="P12" s="62">
        <v>4792821.67</v>
      </c>
      <c r="Q12" s="63">
        <v>0</v>
      </c>
      <c r="R12" s="64">
        <v>0</v>
      </c>
      <c r="S12" s="65">
        <v>0</v>
      </c>
      <c r="T12" s="74">
        <v>0</v>
      </c>
      <c r="U12" s="67">
        <v>0</v>
      </c>
      <c r="V12" s="68">
        <v>55</v>
      </c>
      <c r="W12" s="68">
        <v>96</v>
      </c>
      <c r="X12" s="69">
        <v>1080611.2600000002</v>
      </c>
      <c r="Y12" s="69">
        <v>6461.4299999999985</v>
      </c>
      <c r="Z12" s="69">
        <v>1087072.6900000002</v>
      </c>
      <c r="AA12" s="70">
        <v>19</v>
      </c>
      <c r="AB12" s="71">
        <v>32</v>
      </c>
      <c r="AC12" s="69">
        <v>459565.61999999994</v>
      </c>
      <c r="AD12" s="69">
        <v>71891.219999999972</v>
      </c>
      <c r="AE12" s="69">
        <v>531456.83999999985</v>
      </c>
      <c r="AF12" s="72">
        <v>-0.65454545454545454</v>
      </c>
      <c r="AG12" s="72">
        <v>-0.66666666666666674</v>
      </c>
      <c r="AH12" s="72">
        <v>-0.511111957011817</v>
      </c>
      <c r="AI12" s="70">
        <v>24</v>
      </c>
      <c r="AJ12" s="70">
        <v>42</v>
      </c>
      <c r="AK12" s="69">
        <v>1844723.38</v>
      </c>
      <c r="AL12" s="69">
        <v>600920.04</v>
      </c>
      <c r="AM12" s="69">
        <v>2445643.42</v>
      </c>
      <c r="AN12" s="70">
        <v>22</v>
      </c>
      <c r="AO12" s="70">
        <v>42</v>
      </c>
      <c r="AP12" s="69">
        <v>3768681.6100000003</v>
      </c>
      <c r="AQ12" s="69">
        <v>492683.22000000003</v>
      </c>
      <c r="AR12" s="69">
        <v>4261364.83</v>
      </c>
      <c r="AS12" s="72">
        <v>-8.333333333333337E-2</v>
      </c>
      <c r="AT12" s="72">
        <v>0</v>
      </c>
      <c r="AU12" s="72">
        <v>0.74243096730757263</v>
      </c>
    </row>
    <row r="13" spans="1:47" ht="21" x14ac:dyDescent="0.4">
      <c r="B13" s="57">
        <v>48561</v>
      </c>
      <c r="C13" s="73">
        <v>48561</v>
      </c>
      <c r="D13" s="59" t="s">
        <v>84</v>
      </c>
      <c r="E13" s="59" t="s">
        <v>85</v>
      </c>
      <c r="F13" s="59">
        <v>0</v>
      </c>
      <c r="G13" s="59" t="s">
        <v>86</v>
      </c>
      <c r="H13" s="59" t="s">
        <v>85</v>
      </c>
      <c r="I13" s="59" t="s">
        <v>86</v>
      </c>
      <c r="J13" s="60">
        <v>18</v>
      </c>
      <c r="K13" s="60">
        <v>31</v>
      </c>
      <c r="L13" s="61">
        <v>1397730.01</v>
      </c>
      <c r="M13" s="60">
        <v>4</v>
      </c>
      <c r="N13" s="60">
        <v>6</v>
      </c>
      <c r="O13" s="61">
        <v>97819.630000000019</v>
      </c>
      <c r="P13" s="62">
        <v>1495549.6400000001</v>
      </c>
      <c r="Q13" s="63">
        <v>0</v>
      </c>
      <c r="R13" s="64">
        <v>0</v>
      </c>
      <c r="S13" s="65">
        <v>0</v>
      </c>
      <c r="T13" s="74">
        <v>0</v>
      </c>
      <c r="U13" s="67">
        <v>0</v>
      </c>
      <c r="V13" s="68">
        <v>18</v>
      </c>
      <c r="W13" s="68">
        <v>26</v>
      </c>
      <c r="X13" s="69">
        <v>387550.76</v>
      </c>
      <c r="Y13" s="69">
        <v>74701.440000000031</v>
      </c>
      <c r="Z13" s="69">
        <v>462252.20000000007</v>
      </c>
      <c r="AA13" s="70">
        <v>4</v>
      </c>
      <c r="AB13" s="71">
        <v>6</v>
      </c>
      <c r="AC13" s="69">
        <v>83549.310000000012</v>
      </c>
      <c r="AD13" s="69">
        <v>14270.320000000003</v>
      </c>
      <c r="AE13" s="69">
        <v>97819.630000000019</v>
      </c>
      <c r="AF13" s="72">
        <v>-0.77777777777777779</v>
      </c>
      <c r="AG13" s="72">
        <v>-0.76923076923076916</v>
      </c>
      <c r="AH13" s="72">
        <v>-0.7883847172604046</v>
      </c>
      <c r="AI13" s="70">
        <v>11</v>
      </c>
      <c r="AJ13" s="70">
        <v>18</v>
      </c>
      <c r="AK13" s="69">
        <v>296591.55</v>
      </c>
      <c r="AL13" s="69">
        <v>213160.02000000014</v>
      </c>
      <c r="AM13" s="69">
        <v>509751.57000000012</v>
      </c>
      <c r="AN13" s="70">
        <v>18</v>
      </c>
      <c r="AO13" s="70">
        <v>31</v>
      </c>
      <c r="AP13" s="69">
        <v>1082956.02</v>
      </c>
      <c r="AQ13" s="69">
        <v>314773.99000000005</v>
      </c>
      <c r="AR13" s="69">
        <v>1397730.01</v>
      </c>
      <c r="AS13" s="72">
        <v>0.63636363636363646</v>
      </c>
      <c r="AT13" s="72">
        <v>0.72222222222222232</v>
      </c>
      <c r="AU13" s="72">
        <v>1.7419827466151792</v>
      </c>
    </row>
    <row r="14" spans="1:47" ht="21" x14ac:dyDescent="0.4">
      <c r="B14" s="57">
        <v>47968</v>
      </c>
      <c r="C14" s="73">
        <v>47968</v>
      </c>
      <c r="D14" s="59" t="s">
        <v>87</v>
      </c>
      <c r="E14" s="59" t="s">
        <v>85</v>
      </c>
      <c r="F14" s="59">
        <v>0</v>
      </c>
      <c r="G14" s="59" t="s">
        <v>88</v>
      </c>
      <c r="H14" s="59" t="s">
        <v>85</v>
      </c>
      <c r="I14" s="59" t="s">
        <v>89</v>
      </c>
      <c r="J14" s="60">
        <v>19</v>
      </c>
      <c r="K14" s="60">
        <v>24</v>
      </c>
      <c r="L14" s="61">
        <v>825996.33999999985</v>
      </c>
      <c r="M14" s="60">
        <v>3</v>
      </c>
      <c r="N14" s="60">
        <v>3</v>
      </c>
      <c r="O14" s="61">
        <v>95696.69</v>
      </c>
      <c r="P14" s="62">
        <v>921693.0299999998</v>
      </c>
      <c r="Q14" s="63">
        <v>4</v>
      </c>
      <c r="R14" s="64">
        <v>0</v>
      </c>
      <c r="S14" s="65">
        <v>120000</v>
      </c>
      <c r="T14" s="74">
        <v>0</v>
      </c>
      <c r="U14" s="67">
        <v>0</v>
      </c>
      <c r="V14" s="68">
        <v>8</v>
      </c>
      <c r="W14" s="68">
        <v>13</v>
      </c>
      <c r="X14" s="69">
        <v>124341.44000000002</v>
      </c>
      <c r="Y14" s="69">
        <v>29704.960000000006</v>
      </c>
      <c r="Z14" s="69">
        <v>154046.40000000002</v>
      </c>
      <c r="AA14" s="70">
        <v>3</v>
      </c>
      <c r="AB14" s="71">
        <v>3</v>
      </c>
      <c r="AC14" s="69">
        <v>66052.55</v>
      </c>
      <c r="AD14" s="69">
        <v>29644.139999999992</v>
      </c>
      <c r="AE14" s="69">
        <v>95696.69</v>
      </c>
      <c r="AF14" s="72">
        <v>-0.625</v>
      </c>
      <c r="AG14" s="72">
        <v>-0.76923076923076916</v>
      </c>
      <c r="AH14" s="72">
        <v>-0.37878009482857122</v>
      </c>
      <c r="AI14" s="70">
        <v>19</v>
      </c>
      <c r="AJ14" s="70">
        <v>20</v>
      </c>
      <c r="AK14" s="69">
        <v>276039.52999999997</v>
      </c>
      <c r="AL14" s="69">
        <v>283434.89999999979</v>
      </c>
      <c r="AM14" s="69">
        <v>559474.4299999997</v>
      </c>
      <c r="AN14" s="70">
        <v>19</v>
      </c>
      <c r="AO14" s="70">
        <v>24</v>
      </c>
      <c r="AP14" s="69">
        <v>611074.76999999979</v>
      </c>
      <c r="AQ14" s="69">
        <v>214921.57000000007</v>
      </c>
      <c r="AR14" s="69">
        <v>825996.33999999985</v>
      </c>
      <c r="AS14" s="72">
        <v>0</v>
      </c>
      <c r="AT14" s="72">
        <v>0.19999999999999996</v>
      </c>
      <c r="AU14" s="72">
        <v>0.47637907240908284</v>
      </c>
    </row>
    <row r="15" spans="1:47" ht="21" x14ac:dyDescent="0.4">
      <c r="B15" s="57">
        <v>645658</v>
      </c>
      <c r="C15" s="58">
        <v>645658</v>
      </c>
      <c r="D15" s="59" t="s">
        <v>90</v>
      </c>
      <c r="E15" s="59" t="s">
        <v>75</v>
      </c>
      <c r="F15" s="59" t="s">
        <v>76</v>
      </c>
      <c r="G15" s="59" t="s">
        <v>83</v>
      </c>
      <c r="H15" s="59" t="s">
        <v>78</v>
      </c>
      <c r="I15" s="59" t="s">
        <v>91</v>
      </c>
      <c r="J15" s="60">
        <v>5</v>
      </c>
      <c r="K15" s="60">
        <v>6</v>
      </c>
      <c r="L15" s="61">
        <v>567993.78000000026</v>
      </c>
      <c r="M15" s="60">
        <v>1</v>
      </c>
      <c r="N15" s="60">
        <v>1</v>
      </c>
      <c r="O15" s="61">
        <v>40172.399999999994</v>
      </c>
      <c r="P15" s="62">
        <v>608166.18000000028</v>
      </c>
      <c r="Q15" s="63">
        <v>0</v>
      </c>
      <c r="R15" s="64">
        <v>0</v>
      </c>
      <c r="S15" s="65">
        <v>0</v>
      </c>
      <c r="T15" s="66">
        <v>0</v>
      </c>
      <c r="U15" s="67">
        <v>0</v>
      </c>
      <c r="V15" s="68">
        <v>3</v>
      </c>
      <c r="W15" s="68">
        <v>4</v>
      </c>
      <c r="X15" s="69">
        <v>27119.559999999998</v>
      </c>
      <c r="Y15" s="69">
        <v>0</v>
      </c>
      <c r="Z15" s="69">
        <v>27119.559999999998</v>
      </c>
      <c r="AA15" s="70">
        <v>1</v>
      </c>
      <c r="AB15" s="71">
        <v>1</v>
      </c>
      <c r="AC15" s="69">
        <v>28685.23</v>
      </c>
      <c r="AD15" s="69">
        <v>11487.169999999998</v>
      </c>
      <c r="AE15" s="69">
        <v>40172.399999999994</v>
      </c>
      <c r="AF15" s="72">
        <v>-0.66666666666666674</v>
      </c>
      <c r="AG15" s="72">
        <v>-0.75</v>
      </c>
      <c r="AH15" s="72">
        <v>0.48130721884868333</v>
      </c>
      <c r="AI15" s="70">
        <v>20</v>
      </c>
      <c r="AJ15" s="70">
        <v>25</v>
      </c>
      <c r="AK15" s="69">
        <v>710726.94999999984</v>
      </c>
      <c r="AL15" s="69">
        <v>0</v>
      </c>
      <c r="AM15" s="69">
        <v>710726.94999999984</v>
      </c>
      <c r="AN15" s="70">
        <v>5</v>
      </c>
      <c r="AO15" s="70">
        <v>6</v>
      </c>
      <c r="AP15" s="69">
        <v>315209.86000000016</v>
      </c>
      <c r="AQ15" s="69">
        <v>252783.92000000004</v>
      </c>
      <c r="AR15" s="69">
        <v>567993.78000000026</v>
      </c>
      <c r="AS15" s="72">
        <v>-0.75</v>
      </c>
      <c r="AT15" s="72">
        <v>-0.76</v>
      </c>
      <c r="AU15" s="72">
        <v>-0.20082701239906497</v>
      </c>
    </row>
    <row r="16" spans="1:47" ht="21" x14ac:dyDescent="0.4">
      <c r="B16" s="57">
        <v>646069</v>
      </c>
      <c r="C16" s="58">
        <v>646069</v>
      </c>
      <c r="D16" s="59" t="s">
        <v>92</v>
      </c>
      <c r="E16" s="59" t="s">
        <v>75</v>
      </c>
      <c r="F16" s="59" t="s">
        <v>76</v>
      </c>
      <c r="G16" s="59" t="s">
        <v>83</v>
      </c>
      <c r="H16" s="59" t="s">
        <v>78</v>
      </c>
      <c r="I16" s="59" t="s">
        <v>93</v>
      </c>
      <c r="J16" s="60">
        <v>15</v>
      </c>
      <c r="K16" s="60">
        <v>20</v>
      </c>
      <c r="L16" s="61">
        <v>726837.5299999998</v>
      </c>
      <c r="M16" s="60">
        <v>7</v>
      </c>
      <c r="N16" s="60">
        <v>9</v>
      </c>
      <c r="O16" s="61">
        <v>76372.58</v>
      </c>
      <c r="P16" s="62">
        <v>803210.10999999975</v>
      </c>
      <c r="Q16" s="63">
        <v>0</v>
      </c>
      <c r="R16" s="64">
        <v>0</v>
      </c>
      <c r="S16" s="65">
        <v>0</v>
      </c>
      <c r="T16" s="66">
        <v>0</v>
      </c>
      <c r="U16" s="67">
        <v>0</v>
      </c>
      <c r="V16" s="68">
        <v>13</v>
      </c>
      <c r="W16" s="68">
        <v>19</v>
      </c>
      <c r="X16" s="69">
        <v>139022.54</v>
      </c>
      <c r="Y16" s="69">
        <v>13561.000000000002</v>
      </c>
      <c r="Z16" s="69">
        <v>152583.54</v>
      </c>
      <c r="AA16" s="70">
        <v>7</v>
      </c>
      <c r="AB16" s="71">
        <v>9</v>
      </c>
      <c r="AC16" s="69">
        <v>64240.43</v>
      </c>
      <c r="AD16" s="69">
        <v>12132.15</v>
      </c>
      <c r="AE16" s="69">
        <v>76372.58</v>
      </c>
      <c r="AF16" s="72">
        <v>-0.46153846153846156</v>
      </c>
      <c r="AG16" s="72">
        <v>-0.52631578947368429</v>
      </c>
      <c r="AH16" s="72">
        <v>-0.49947038848358083</v>
      </c>
      <c r="AI16" s="70">
        <v>20</v>
      </c>
      <c r="AJ16" s="70">
        <v>27</v>
      </c>
      <c r="AK16" s="69">
        <v>794538.53999999957</v>
      </c>
      <c r="AL16" s="69">
        <v>198781.41999999993</v>
      </c>
      <c r="AM16" s="69">
        <v>993319.9599999995</v>
      </c>
      <c r="AN16" s="70">
        <v>15</v>
      </c>
      <c r="AO16" s="70">
        <v>20</v>
      </c>
      <c r="AP16" s="69">
        <v>590521.87999999989</v>
      </c>
      <c r="AQ16" s="69">
        <v>136315.64999999997</v>
      </c>
      <c r="AR16" s="69">
        <v>726837.5299999998</v>
      </c>
      <c r="AS16" s="72">
        <v>-0.25</v>
      </c>
      <c r="AT16" s="72">
        <v>-0.2592592592592593</v>
      </c>
      <c r="AU16" s="72">
        <v>-0.26827451448775863</v>
      </c>
    </row>
    <row r="17" spans="2:47" ht="21" x14ac:dyDescent="0.4">
      <c r="B17" s="57">
        <v>633890</v>
      </c>
      <c r="C17" s="73">
        <v>633890</v>
      </c>
      <c r="D17" s="59" t="s">
        <v>94</v>
      </c>
      <c r="E17" s="59" t="s">
        <v>85</v>
      </c>
      <c r="F17" s="59">
        <v>0</v>
      </c>
      <c r="G17" s="59" t="s">
        <v>88</v>
      </c>
      <c r="H17" s="59" t="s">
        <v>85</v>
      </c>
      <c r="I17" s="59" t="s">
        <v>95</v>
      </c>
      <c r="J17" s="60">
        <v>9</v>
      </c>
      <c r="K17" s="60">
        <v>12</v>
      </c>
      <c r="L17" s="61">
        <v>404423.77999999985</v>
      </c>
      <c r="M17" s="60">
        <v>1</v>
      </c>
      <c r="N17" s="60">
        <v>1</v>
      </c>
      <c r="O17" s="61">
        <v>9809.9</v>
      </c>
      <c r="P17" s="62">
        <v>414233.67999999988</v>
      </c>
      <c r="Q17" s="63">
        <v>4</v>
      </c>
      <c r="R17" s="64">
        <v>1</v>
      </c>
      <c r="S17" s="65">
        <v>120000</v>
      </c>
      <c r="T17" s="74">
        <v>0</v>
      </c>
      <c r="U17" s="67">
        <v>15000</v>
      </c>
      <c r="V17" s="68">
        <v>0</v>
      </c>
      <c r="W17" s="68">
        <v>0</v>
      </c>
      <c r="X17" s="69">
        <v>0</v>
      </c>
      <c r="Y17" s="69">
        <v>0</v>
      </c>
      <c r="Z17" s="69">
        <v>0</v>
      </c>
      <c r="AA17" s="70">
        <v>1</v>
      </c>
      <c r="AB17" s="71">
        <v>1</v>
      </c>
      <c r="AC17" s="69">
        <v>9809.9</v>
      </c>
      <c r="AD17" s="69">
        <v>0</v>
      </c>
      <c r="AE17" s="69">
        <v>9809.9</v>
      </c>
      <c r="AF17" s="72">
        <v>1</v>
      </c>
      <c r="AG17" s="72">
        <v>1</v>
      </c>
      <c r="AH17" s="72">
        <v>1</v>
      </c>
      <c r="AI17" s="70">
        <v>6</v>
      </c>
      <c r="AJ17" s="70">
        <v>7</v>
      </c>
      <c r="AK17" s="69">
        <v>227508.33</v>
      </c>
      <c r="AL17" s="69">
        <v>124325.17</v>
      </c>
      <c r="AM17" s="69">
        <v>351833.5</v>
      </c>
      <c r="AN17" s="70">
        <v>9</v>
      </c>
      <c r="AO17" s="70">
        <v>12</v>
      </c>
      <c r="AP17" s="69">
        <v>359269.60999999987</v>
      </c>
      <c r="AQ17" s="69">
        <v>45154.169999999984</v>
      </c>
      <c r="AR17" s="69">
        <v>404423.77999999985</v>
      </c>
      <c r="AS17" s="72">
        <v>0.5</v>
      </c>
      <c r="AT17" s="72">
        <v>0.71428571428571419</v>
      </c>
      <c r="AU17" s="72">
        <v>0.14947490787545781</v>
      </c>
    </row>
    <row r="18" spans="2:47" ht="21" x14ac:dyDescent="0.4">
      <c r="B18" s="57">
        <v>647749</v>
      </c>
      <c r="C18" s="73">
        <v>647749</v>
      </c>
      <c r="D18" s="59" t="s">
        <v>96</v>
      </c>
      <c r="E18" s="59" t="s">
        <v>97</v>
      </c>
      <c r="F18" s="59" t="s">
        <v>76</v>
      </c>
      <c r="G18" s="59" t="s">
        <v>86</v>
      </c>
      <c r="H18" s="59" t="s">
        <v>98</v>
      </c>
      <c r="I18" s="59" t="s">
        <v>86</v>
      </c>
      <c r="J18" s="60">
        <v>7</v>
      </c>
      <c r="K18" s="60">
        <v>8</v>
      </c>
      <c r="L18" s="61">
        <v>289458.96000000002</v>
      </c>
      <c r="M18" s="60">
        <v>24</v>
      </c>
      <c r="N18" s="60">
        <v>31</v>
      </c>
      <c r="O18" s="61">
        <v>820270.55</v>
      </c>
      <c r="P18" s="62">
        <v>1109729.51</v>
      </c>
      <c r="Q18" s="63">
        <v>9</v>
      </c>
      <c r="R18" s="64">
        <v>0</v>
      </c>
      <c r="S18" s="65">
        <v>200000</v>
      </c>
      <c r="T18" s="66">
        <v>0</v>
      </c>
      <c r="U18" s="67">
        <v>0</v>
      </c>
      <c r="V18" s="68">
        <v>4</v>
      </c>
      <c r="W18" s="68">
        <v>5</v>
      </c>
      <c r="X18" s="69">
        <v>65151.729999999996</v>
      </c>
      <c r="Y18" s="69">
        <v>0</v>
      </c>
      <c r="Z18" s="69">
        <v>65151.729999999996</v>
      </c>
      <c r="AA18" s="70">
        <v>24</v>
      </c>
      <c r="AB18" s="71">
        <v>31</v>
      </c>
      <c r="AC18" s="69">
        <v>813021.44000000006</v>
      </c>
      <c r="AD18" s="69">
        <v>7249.11</v>
      </c>
      <c r="AE18" s="69">
        <v>820270.55</v>
      </c>
      <c r="AF18" s="72">
        <v>5</v>
      </c>
      <c r="AG18" s="72">
        <v>5.2</v>
      </c>
      <c r="AH18" s="72">
        <v>11.590157621294171</v>
      </c>
      <c r="AI18" s="70">
        <v>0</v>
      </c>
      <c r="AJ18" s="70">
        <v>0</v>
      </c>
      <c r="AK18" s="69">
        <v>0</v>
      </c>
      <c r="AL18" s="69">
        <v>0</v>
      </c>
      <c r="AM18" s="69">
        <v>0</v>
      </c>
      <c r="AN18" s="70">
        <v>7</v>
      </c>
      <c r="AO18" s="70">
        <v>8</v>
      </c>
      <c r="AP18" s="69">
        <v>289458.96000000002</v>
      </c>
      <c r="AQ18" s="69">
        <v>0</v>
      </c>
      <c r="AR18" s="69">
        <v>289458.96000000002</v>
      </c>
      <c r="AS18" s="72">
        <v>1</v>
      </c>
      <c r="AT18" s="72">
        <v>1</v>
      </c>
      <c r="AU18" s="72">
        <v>1</v>
      </c>
    </row>
    <row r="19" spans="2:47" ht="15.6" x14ac:dyDescent="0.3">
      <c r="B19" s="75">
        <v>648986</v>
      </c>
      <c r="C19" s="76">
        <v>648986</v>
      </c>
      <c r="D19" s="77" t="s">
        <v>99</v>
      </c>
      <c r="E19" s="77" t="s">
        <v>97</v>
      </c>
      <c r="F19" s="77"/>
      <c r="G19" s="77"/>
      <c r="H19" s="77" t="s">
        <v>98</v>
      </c>
      <c r="I19" s="77" t="s">
        <v>95</v>
      </c>
      <c r="J19" s="60">
        <v>2</v>
      </c>
      <c r="K19" s="60">
        <v>4</v>
      </c>
      <c r="L19" s="61">
        <v>275823.09000000003</v>
      </c>
      <c r="M19" s="60">
        <v>0</v>
      </c>
      <c r="N19" s="60">
        <v>0</v>
      </c>
      <c r="O19" s="61">
        <v>0</v>
      </c>
      <c r="P19" s="62">
        <v>275823.09000000003</v>
      </c>
      <c r="Q19" s="63">
        <v>9</v>
      </c>
      <c r="R19" s="64">
        <v>5</v>
      </c>
      <c r="S19" s="65">
        <v>200000</v>
      </c>
      <c r="T19" s="74">
        <v>0</v>
      </c>
      <c r="U19" s="67">
        <v>0</v>
      </c>
      <c r="V19" s="68">
        <v>0</v>
      </c>
      <c r="W19" s="68">
        <v>0</v>
      </c>
      <c r="X19" s="69">
        <v>0</v>
      </c>
      <c r="Y19" s="69">
        <v>0</v>
      </c>
      <c r="Z19" s="69">
        <v>0</v>
      </c>
      <c r="AA19" s="70">
        <v>0</v>
      </c>
      <c r="AB19" s="71">
        <v>0</v>
      </c>
      <c r="AC19" s="69">
        <v>0</v>
      </c>
      <c r="AD19" s="69">
        <v>0</v>
      </c>
      <c r="AE19" s="69">
        <v>0</v>
      </c>
      <c r="AF19" s="72">
        <v>0</v>
      </c>
      <c r="AG19" s="72">
        <v>0</v>
      </c>
      <c r="AH19" s="72">
        <v>0</v>
      </c>
      <c r="AI19" s="70">
        <v>0</v>
      </c>
      <c r="AJ19" s="70">
        <v>0</v>
      </c>
      <c r="AK19" s="69">
        <v>0</v>
      </c>
      <c r="AL19" s="69">
        <v>0</v>
      </c>
      <c r="AM19" s="69">
        <v>0</v>
      </c>
      <c r="AN19" s="70">
        <v>2</v>
      </c>
      <c r="AO19" s="70">
        <v>4</v>
      </c>
      <c r="AP19" s="69">
        <v>275823.09000000003</v>
      </c>
      <c r="AQ19" s="69">
        <v>0</v>
      </c>
      <c r="AR19" s="69">
        <v>275823.09000000003</v>
      </c>
      <c r="AS19" s="72">
        <v>1</v>
      </c>
      <c r="AT19" s="72">
        <v>1</v>
      </c>
      <c r="AU19" s="72">
        <v>1</v>
      </c>
    </row>
    <row r="20" spans="2:47" ht="21" x14ac:dyDescent="0.4">
      <c r="B20" s="57">
        <v>48357</v>
      </c>
      <c r="C20" s="73">
        <v>48357</v>
      </c>
      <c r="D20" s="59" t="s">
        <v>100</v>
      </c>
      <c r="E20" s="59" t="s">
        <v>85</v>
      </c>
      <c r="F20" s="59">
        <v>0</v>
      </c>
      <c r="G20" s="59" t="s">
        <v>101</v>
      </c>
      <c r="H20" s="59" t="s">
        <v>85</v>
      </c>
      <c r="I20" s="59" t="s">
        <v>101</v>
      </c>
      <c r="J20" s="60">
        <v>5</v>
      </c>
      <c r="K20" s="60">
        <v>10</v>
      </c>
      <c r="L20" s="61">
        <v>411745.62000000005</v>
      </c>
      <c r="M20" s="60">
        <v>3</v>
      </c>
      <c r="N20" s="60">
        <v>6</v>
      </c>
      <c r="O20" s="61">
        <v>108909.46</v>
      </c>
      <c r="P20" s="62">
        <v>520655.08000000007</v>
      </c>
      <c r="Q20" s="63">
        <v>4</v>
      </c>
      <c r="R20" s="64">
        <v>0</v>
      </c>
      <c r="S20" s="65">
        <v>120000</v>
      </c>
      <c r="T20" s="74">
        <v>0</v>
      </c>
      <c r="U20" s="67">
        <v>0</v>
      </c>
      <c r="V20" s="68">
        <v>3</v>
      </c>
      <c r="W20" s="68">
        <v>3</v>
      </c>
      <c r="X20" s="69">
        <v>63691.659999999996</v>
      </c>
      <c r="Y20" s="69">
        <v>3967.6</v>
      </c>
      <c r="Z20" s="69">
        <v>67659.259999999995</v>
      </c>
      <c r="AA20" s="70">
        <v>3</v>
      </c>
      <c r="AB20" s="71">
        <v>6</v>
      </c>
      <c r="AC20" s="69">
        <v>95358.61</v>
      </c>
      <c r="AD20" s="69">
        <v>13550.85</v>
      </c>
      <c r="AE20" s="69">
        <v>108909.46</v>
      </c>
      <c r="AF20" s="72">
        <v>0</v>
      </c>
      <c r="AG20" s="72">
        <v>1</v>
      </c>
      <c r="AH20" s="72">
        <v>0.60967560094508899</v>
      </c>
      <c r="AI20" s="70">
        <v>1</v>
      </c>
      <c r="AJ20" s="70">
        <v>2</v>
      </c>
      <c r="AK20" s="69">
        <v>52522.080000000002</v>
      </c>
      <c r="AL20" s="69">
        <v>95807.84</v>
      </c>
      <c r="AM20" s="69">
        <v>148329.91999999998</v>
      </c>
      <c r="AN20" s="70">
        <v>5</v>
      </c>
      <c r="AO20" s="70">
        <v>10</v>
      </c>
      <c r="AP20" s="69">
        <v>406648.72000000003</v>
      </c>
      <c r="AQ20" s="69">
        <v>5096.8999999999996</v>
      </c>
      <c r="AR20" s="69">
        <v>411745.62000000005</v>
      </c>
      <c r="AS20" s="72">
        <v>4</v>
      </c>
      <c r="AT20" s="72">
        <v>4</v>
      </c>
      <c r="AU20" s="72">
        <v>1.7758770449009891</v>
      </c>
    </row>
    <row r="21" spans="2:47" ht="21" x14ac:dyDescent="0.4">
      <c r="B21" s="57">
        <v>631611</v>
      </c>
      <c r="C21" s="73">
        <v>631611</v>
      </c>
      <c r="D21" s="59" t="s">
        <v>102</v>
      </c>
      <c r="E21" s="59" t="s">
        <v>85</v>
      </c>
      <c r="F21" s="59">
        <v>0</v>
      </c>
      <c r="G21" s="59" t="s">
        <v>103</v>
      </c>
      <c r="H21" s="59" t="s">
        <v>85</v>
      </c>
      <c r="I21" s="59" t="s">
        <v>89</v>
      </c>
      <c r="J21" s="60">
        <v>2</v>
      </c>
      <c r="K21" s="60">
        <v>4</v>
      </c>
      <c r="L21" s="61">
        <v>349481.97000000003</v>
      </c>
      <c r="M21" s="60">
        <v>12</v>
      </c>
      <c r="N21" s="60">
        <v>12</v>
      </c>
      <c r="O21" s="61">
        <v>273910.81</v>
      </c>
      <c r="P21" s="62">
        <v>623392.78</v>
      </c>
      <c r="Q21" s="63">
        <v>0</v>
      </c>
      <c r="R21" s="64">
        <v>4</v>
      </c>
      <c r="S21" s="65">
        <v>0</v>
      </c>
      <c r="T21" s="74">
        <v>0</v>
      </c>
      <c r="U21" s="67">
        <v>177000</v>
      </c>
      <c r="V21" s="68">
        <v>12</v>
      </c>
      <c r="W21" s="68">
        <v>13</v>
      </c>
      <c r="X21" s="69">
        <v>301088.12000000005</v>
      </c>
      <c r="Y21" s="69">
        <v>66571.170000000013</v>
      </c>
      <c r="Z21" s="69">
        <v>367659.29000000004</v>
      </c>
      <c r="AA21" s="70">
        <v>12</v>
      </c>
      <c r="AB21" s="71">
        <v>12</v>
      </c>
      <c r="AC21" s="69">
        <v>231195.27000000002</v>
      </c>
      <c r="AD21" s="69">
        <v>42715.539999999986</v>
      </c>
      <c r="AE21" s="69">
        <v>273910.81</v>
      </c>
      <c r="AF21" s="72">
        <v>0</v>
      </c>
      <c r="AG21" s="72">
        <v>-7.6923076923076872E-2</v>
      </c>
      <c r="AH21" s="72">
        <v>-0.25498738247577002</v>
      </c>
      <c r="AI21" s="70">
        <v>6</v>
      </c>
      <c r="AJ21" s="70">
        <v>8</v>
      </c>
      <c r="AK21" s="69">
        <v>443248.95999999996</v>
      </c>
      <c r="AL21" s="69">
        <v>305494.61999999994</v>
      </c>
      <c r="AM21" s="69">
        <v>748743.57999999984</v>
      </c>
      <c r="AN21" s="70">
        <v>2</v>
      </c>
      <c r="AO21" s="70">
        <v>4</v>
      </c>
      <c r="AP21" s="69">
        <v>296855.90000000002</v>
      </c>
      <c r="AQ21" s="69">
        <v>52626.069999999992</v>
      </c>
      <c r="AR21" s="69">
        <v>349481.97000000003</v>
      </c>
      <c r="AS21" s="72">
        <v>-0.66666666666666674</v>
      </c>
      <c r="AT21" s="72">
        <v>-0.5</v>
      </c>
      <c r="AU21" s="72">
        <v>-0.53324211474374161</v>
      </c>
    </row>
    <row r="22" spans="2:47" ht="21" x14ac:dyDescent="0.4">
      <c r="B22" s="57">
        <v>55538</v>
      </c>
      <c r="C22" s="73">
        <v>55538</v>
      </c>
      <c r="D22" s="59" t="s">
        <v>104</v>
      </c>
      <c r="E22" s="59" t="s">
        <v>105</v>
      </c>
      <c r="F22" s="59">
        <v>0</v>
      </c>
      <c r="G22" s="59" t="s">
        <v>77</v>
      </c>
      <c r="H22" s="59" t="s">
        <v>78</v>
      </c>
      <c r="I22" s="59" t="s">
        <v>79</v>
      </c>
      <c r="J22" s="60">
        <v>1</v>
      </c>
      <c r="K22" s="60">
        <v>2</v>
      </c>
      <c r="L22" s="61">
        <v>218277.33999999997</v>
      </c>
      <c r="M22" s="60">
        <v>31</v>
      </c>
      <c r="N22" s="60">
        <v>50</v>
      </c>
      <c r="O22" s="61">
        <v>631173.15</v>
      </c>
      <c r="P22" s="62">
        <v>849450.49</v>
      </c>
      <c r="Q22" s="63">
        <v>0</v>
      </c>
      <c r="R22" s="64">
        <v>0</v>
      </c>
      <c r="S22" s="65">
        <v>0</v>
      </c>
      <c r="T22" s="74">
        <v>0</v>
      </c>
      <c r="U22" s="67">
        <v>0</v>
      </c>
      <c r="V22" s="68">
        <v>19</v>
      </c>
      <c r="W22" s="68">
        <v>27</v>
      </c>
      <c r="X22" s="69">
        <v>341191.92999999993</v>
      </c>
      <c r="Y22" s="69">
        <v>89716.190000000031</v>
      </c>
      <c r="Z22" s="69">
        <v>430908.12</v>
      </c>
      <c r="AA22" s="70">
        <v>31</v>
      </c>
      <c r="AB22" s="71">
        <v>50</v>
      </c>
      <c r="AC22" s="69">
        <v>646664.20000000007</v>
      </c>
      <c r="AD22" s="69">
        <v>-15491.05</v>
      </c>
      <c r="AE22" s="69">
        <v>631173.15</v>
      </c>
      <c r="AF22" s="72">
        <v>0.63157894736842102</v>
      </c>
      <c r="AG22" s="72">
        <v>0.85185185185185186</v>
      </c>
      <c r="AH22" s="72">
        <v>0.46475111678099745</v>
      </c>
      <c r="AI22" s="70">
        <v>8</v>
      </c>
      <c r="AJ22" s="70">
        <v>9</v>
      </c>
      <c r="AK22" s="69">
        <v>165575.10999999999</v>
      </c>
      <c r="AL22" s="69">
        <v>127234.23999999995</v>
      </c>
      <c r="AM22" s="69">
        <v>292809.34999999992</v>
      </c>
      <c r="AN22" s="70">
        <v>1</v>
      </c>
      <c r="AO22" s="70">
        <v>2</v>
      </c>
      <c r="AP22" s="69">
        <v>63455.25</v>
      </c>
      <c r="AQ22" s="69">
        <v>154822.08999999997</v>
      </c>
      <c r="AR22" s="69">
        <v>218277.33999999997</v>
      </c>
      <c r="AS22" s="72">
        <v>-0.875</v>
      </c>
      <c r="AT22" s="72">
        <v>-0.77777777777777779</v>
      </c>
      <c r="AU22" s="72">
        <v>-0.2545410862050681</v>
      </c>
    </row>
    <row r="23" spans="2:47" ht="21" x14ac:dyDescent="0.4">
      <c r="B23" s="57">
        <v>48847</v>
      </c>
      <c r="C23" s="73">
        <v>48847</v>
      </c>
      <c r="D23" s="59" t="s">
        <v>106</v>
      </c>
      <c r="E23" s="59" t="s">
        <v>85</v>
      </c>
      <c r="F23" s="59">
        <v>0</v>
      </c>
      <c r="G23" s="59" t="s">
        <v>107</v>
      </c>
      <c r="H23" s="59" t="s">
        <v>85</v>
      </c>
      <c r="I23" s="59" t="s">
        <v>89</v>
      </c>
      <c r="J23" s="60">
        <v>4</v>
      </c>
      <c r="K23" s="60">
        <v>4</v>
      </c>
      <c r="L23" s="61">
        <v>221028.24999999988</v>
      </c>
      <c r="M23" s="60">
        <v>3</v>
      </c>
      <c r="N23" s="60">
        <v>3</v>
      </c>
      <c r="O23" s="61">
        <v>47714.55</v>
      </c>
      <c r="P23" s="62">
        <v>268742.79999999987</v>
      </c>
      <c r="Q23" s="63">
        <v>4</v>
      </c>
      <c r="R23" s="64">
        <v>0</v>
      </c>
      <c r="S23" s="65">
        <v>120000</v>
      </c>
      <c r="T23" s="74">
        <v>0</v>
      </c>
      <c r="U23" s="67">
        <v>0</v>
      </c>
      <c r="V23" s="68">
        <v>4</v>
      </c>
      <c r="W23" s="68">
        <v>6</v>
      </c>
      <c r="X23" s="69">
        <v>80105.61</v>
      </c>
      <c r="Y23" s="69">
        <v>6896.15</v>
      </c>
      <c r="Z23" s="69">
        <v>87001.76</v>
      </c>
      <c r="AA23" s="70">
        <v>3</v>
      </c>
      <c r="AB23" s="71">
        <v>3</v>
      </c>
      <c r="AC23" s="69">
        <v>47714.55</v>
      </c>
      <c r="AD23" s="69">
        <v>0</v>
      </c>
      <c r="AE23" s="69">
        <v>47714.55</v>
      </c>
      <c r="AF23" s="72">
        <v>-0.25</v>
      </c>
      <c r="AG23" s="72">
        <v>-0.5</v>
      </c>
      <c r="AH23" s="72">
        <v>-0.45156799126822256</v>
      </c>
      <c r="AI23" s="70">
        <v>3</v>
      </c>
      <c r="AJ23" s="70">
        <v>2</v>
      </c>
      <c r="AK23" s="69">
        <v>22563.41</v>
      </c>
      <c r="AL23" s="69">
        <v>193355.28000000003</v>
      </c>
      <c r="AM23" s="69">
        <v>215918.69000000003</v>
      </c>
      <c r="AN23" s="70">
        <v>4</v>
      </c>
      <c r="AO23" s="70">
        <v>4</v>
      </c>
      <c r="AP23" s="69">
        <v>77885.089999999982</v>
      </c>
      <c r="AQ23" s="69">
        <v>143143.15999999989</v>
      </c>
      <c r="AR23" s="69">
        <v>221028.24999999988</v>
      </c>
      <c r="AS23" s="72">
        <v>0.33333333333333326</v>
      </c>
      <c r="AT23" s="72">
        <v>1</v>
      </c>
      <c r="AU23" s="72">
        <v>2.3664278437405484E-2</v>
      </c>
    </row>
    <row r="24" spans="2:47" ht="21" x14ac:dyDescent="0.4">
      <c r="B24" s="57">
        <v>622011</v>
      </c>
      <c r="C24" s="73">
        <v>622011</v>
      </c>
      <c r="D24" s="59" t="s">
        <v>108</v>
      </c>
      <c r="E24" s="59" t="s">
        <v>85</v>
      </c>
      <c r="F24" s="59">
        <v>0</v>
      </c>
      <c r="G24" s="59" t="s">
        <v>83</v>
      </c>
      <c r="H24" s="59" t="s">
        <v>85</v>
      </c>
      <c r="I24" s="59" t="s">
        <v>89</v>
      </c>
      <c r="J24" s="60">
        <v>1</v>
      </c>
      <c r="K24" s="60">
        <v>2</v>
      </c>
      <c r="L24" s="61">
        <v>223911.76</v>
      </c>
      <c r="M24" s="60">
        <v>24</v>
      </c>
      <c r="N24" s="60">
        <v>50</v>
      </c>
      <c r="O24" s="61">
        <v>570733.51</v>
      </c>
      <c r="P24" s="62">
        <v>794645.27</v>
      </c>
      <c r="Q24" s="63">
        <v>0</v>
      </c>
      <c r="R24" s="64">
        <v>0</v>
      </c>
      <c r="S24" s="65">
        <v>0</v>
      </c>
      <c r="T24" s="74">
        <v>0</v>
      </c>
      <c r="U24" s="67">
        <v>0</v>
      </c>
      <c r="V24" s="68">
        <v>12</v>
      </c>
      <c r="W24" s="68">
        <v>18</v>
      </c>
      <c r="X24" s="69">
        <v>428794.65999999992</v>
      </c>
      <c r="Y24" s="69">
        <v>101134.76000000001</v>
      </c>
      <c r="Z24" s="69">
        <v>529929.41999999993</v>
      </c>
      <c r="AA24" s="70">
        <v>24</v>
      </c>
      <c r="AB24" s="71">
        <v>50</v>
      </c>
      <c r="AC24" s="69">
        <v>570873.09</v>
      </c>
      <c r="AD24" s="69">
        <v>-139.57999999999998</v>
      </c>
      <c r="AE24" s="69">
        <v>570733.51</v>
      </c>
      <c r="AF24" s="72">
        <v>1</v>
      </c>
      <c r="AG24" s="72">
        <v>1.7777777777777777</v>
      </c>
      <c r="AH24" s="72">
        <v>7.6999103012624026E-2</v>
      </c>
      <c r="AI24" s="70">
        <v>0</v>
      </c>
      <c r="AJ24" s="70">
        <v>0</v>
      </c>
      <c r="AK24" s="69">
        <v>0</v>
      </c>
      <c r="AL24" s="69">
        <v>49127.55</v>
      </c>
      <c r="AM24" s="69">
        <v>49127.55</v>
      </c>
      <c r="AN24" s="70">
        <v>1</v>
      </c>
      <c r="AO24" s="70">
        <v>2</v>
      </c>
      <c r="AP24" s="69">
        <v>172567.66</v>
      </c>
      <c r="AQ24" s="69">
        <v>51344.10000000002</v>
      </c>
      <c r="AR24" s="69">
        <v>223911.76</v>
      </c>
      <c r="AS24" s="72">
        <v>1</v>
      </c>
      <c r="AT24" s="72">
        <v>1</v>
      </c>
      <c r="AU24" s="72">
        <v>3.5577636173593028</v>
      </c>
    </row>
    <row r="25" spans="2:47" ht="21" x14ac:dyDescent="0.4">
      <c r="B25" s="57">
        <v>45980</v>
      </c>
      <c r="C25" s="73">
        <v>45980</v>
      </c>
      <c r="D25" s="59" t="s">
        <v>109</v>
      </c>
      <c r="E25" s="59" t="s">
        <v>85</v>
      </c>
      <c r="F25" s="59">
        <v>0</v>
      </c>
      <c r="G25" s="59" t="s">
        <v>110</v>
      </c>
      <c r="H25" s="59" t="s">
        <v>85</v>
      </c>
      <c r="I25" s="59" t="s">
        <v>89</v>
      </c>
      <c r="J25" s="60">
        <v>1</v>
      </c>
      <c r="K25" s="60">
        <v>2</v>
      </c>
      <c r="L25" s="61">
        <v>166073.22999999998</v>
      </c>
      <c r="M25" s="60">
        <v>2</v>
      </c>
      <c r="N25" s="60">
        <v>2</v>
      </c>
      <c r="O25" s="61">
        <v>57759.44</v>
      </c>
      <c r="P25" s="62">
        <v>223832.66999999998</v>
      </c>
      <c r="Q25" s="63">
        <v>4</v>
      </c>
      <c r="R25" s="64">
        <v>0</v>
      </c>
      <c r="S25" s="65">
        <v>120000</v>
      </c>
      <c r="T25" s="74">
        <v>0</v>
      </c>
      <c r="U25" s="67">
        <v>0</v>
      </c>
      <c r="V25" s="68">
        <v>3</v>
      </c>
      <c r="W25" s="68">
        <v>10</v>
      </c>
      <c r="X25" s="69">
        <v>103728.38</v>
      </c>
      <c r="Y25" s="69">
        <v>0</v>
      </c>
      <c r="Z25" s="69">
        <v>103728.38</v>
      </c>
      <c r="AA25" s="70">
        <v>2</v>
      </c>
      <c r="AB25" s="71">
        <v>2</v>
      </c>
      <c r="AC25" s="69">
        <v>21193.47</v>
      </c>
      <c r="AD25" s="69">
        <v>36565.97</v>
      </c>
      <c r="AE25" s="69">
        <v>57759.44</v>
      </c>
      <c r="AF25" s="72">
        <v>-0.33333333333333337</v>
      </c>
      <c r="AG25" s="72">
        <v>-0.8</v>
      </c>
      <c r="AH25" s="72">
        <v>-0.44316646996704279</v>
      </c>
      <c r="AI25" s="70">
        <v>0</v>
      </c>
      <c r="AJ25" s="70">
        <v>0</v>
      </c>
      <c r="AK25" s="69">
        <v>0</v>
      </c>
      <c r="AL25" s="69">
        <v>44252.169999999991</v>
      </c>
      <c r="AM25" s="69">
        <v>44252.169999999991</v>
      </c>
      <c r="AN25" s="70">
        <v>1</v>
      </c>
      <c r="AO25" s="70">
        <v>2</v>
      </c>
      <c r="AP25" s="69">
        <v>126159.28</v>
      </c>
      <c r="AQ25" s="69">
        <v>39913.949999999997</v>
      </c>
      <c r="AR25" s="69">
        <v>166073.22999999998</v>
      </c>
      <c r="AS25" s="72">
        <v>1</v>
      </c>
      <c r="AT25" s="72">
        <v>1</v>
      </c>
      <c r="AU25" s="72">
        <v>2.7528833049317134</v>
      </c>
    </row>
    <row r="26" spans="2:47" ht="21" x14ac:dyDescent="0.4">
      <c r="B26" s="57">
        <v>647555</v>
      </c>
      <c r="C26" s="78">
        <v>647555</v>
      </c>
      <c r="D26" s="59" t="s">
        <v>111</v>
      </c>
      <c r="E26" s="59" t="s">
        <v>97</v>
      </c>
      <c r="F26" s="59" t="s">
        <v>76</v>
      </c>
      <c r="G26" s="59" t="s">
        <v>83</v>
      </c>
      <c r="H26" s="59" t="s">
        <v>98</v>
      </c>
      <c r="I26" s="59" t="s">
        <v>112</v>
      </c>
      <c r="J26" s="79">
        <v>3</v>
      </c>
      <c r="K26" s="79">
        <v>5</v>
      </c>
      <c r="L26" s="61">
        <v>160718.31</v>
      </c>
      <c r="M26" s="60">
        <v>1</v>
      </c>
      <c r="N26" s="60">
        <v>1</v>
      </c>
      <c r="O26" s="61">
        <v>15527.34</v>
      </c>
      <c r="P26" s="62">
        <v>176245.65</v>
      </c>
      <c r="Q26" s="63">
        <v>9</v>
      </c>
      <c r="R26" s="64">
        <v>3</v>
      </c>
      <c r="S26" s="65">
        <v>200000</v>
      </c>
      <c r="T26" s="66">
        <v>23754.350000000006</v>
      </c>
      <c r="U26" s="67">
        <v>0</v>
      </c>
      <c r="V26" s="68">
        <v>0</v>
      </c>
      <c r="W26" s="68">
        <v>0</v>
      </c>
      <c r="X26" s="69">
        <v>0</v>
      </c>
      <c r="Y26" s="69">
        <v>0</v>
      </c>
      <c r="Z26" s="69">
        <v>0</v>
      </c>
      <c r="AA26" s="70">
        <v>1</v>
      </c>
      <c r="AB26" s="71">
        <v>1</v>
      </c>
      <c r="AC26" s="69">
        <v>15527.34</v>
      </c>
      <c r="AD26" s="69">
        <v>0</v>
      </c>
      <c r="AE26" s="69">
        <v>15527.34</v>
      </c>
      <c r="AF26" s="72">
        <v>1</v>
      </c>
      <c r="AG26" s="72">
        <v>1</v>
      </c>
      <c r="AH26" s="72">
        <v>1</v>
      </c>
      <c r="AI26" s="70">
        <v>1</v>
      </c>
      <c r="AJ26" s="70">
        <v>2</v>
      </c>
      <c r="AK26" s="69">
        <v>59936.04</v>
      </c>
      <c r="AL26" s="69">
        <v>0</v>
      </c>
      <c r="AM26" s="69">
        <v>59936.04</v>
      </c>
      <c r="AN26" s="70">
        <v>3</v>
      </c>
      <c r="AO26" s="70">
        <v>5</v>
      </c>
      <c r="AP26" s="69">
        <v>139991.49</v>
      </c>
      <c r="AQ26" s="69">
        <v>20726.82</v>
      </c>
      <c r="AR26" s="69">
        <v>160718.31</v>
      </c>
      <c r="AS26" s="72">
        <v>2</v>
      </c>
      <c r="AT26" s="72">
        <v>1.5</v>
      </c>
      <c r="AU26" s="72">
        <v>1.6814969757761773</v>
      </c>
    </row>
    <row r="27" spans="2:47" ht="21" x14ac:dyDescent="0.4">
      <c r="B27" s="57">
        <v>647476</v>
      </c>
      <c r="C27" s="78">
        <v>647476</v>
      </c>
      <c r="D27" s="59" t="s">
        <v>113</v>
      </c>
      <c r="E27" s="59" t="s">
        <v>97</v>
      </c>
      <c r="F27" s="59" t="s">
        <v>76</v>
      </c>
      <c r="G27" s="59" t="s">
        <v>83</v>
      </c>
      <c r="H27" s="59" t="s">
        <v>98</v>
      </c>
      <c r="I27" s="59" t="s">
        <v>114</v>
      </c>
      <c r="J27" s="60">
        <v>4</v>
      </c>
      <c r="K27" s="60">
        <v>4</v>
      </c>
      <c r="L27" s="61">
        <v>154632.68</v>
      </c>
      <c r="M27" s="60">
        <v>13</v>
      </c>
      <c r="N27" s="60">
        <v>18</v>
      </c>
      <c r="O27" s="61">
        <v>383318.99000000005</v>
      </c>
      <c r="P27" s="62">
        <v>537951.67000000004</v>
      </c>
      <c r="Q27" s="63">
        <v>9</v>
      </c>
      <c r="R27" s="64">
        <v>0</v>
      </c>
      <c r="S27" s="65">
        <v>200000</v>
      </c>
      <c r="T27" s="66">
        <v>0</v>
      </c>
      <c r="U27" s="67">
        <v>0</v>
      </c>
      <c r="V27" s="68">
        <v>8</v>
      </c>
      <c r="W27" s="68">
        <v>8</v>
      </c>
      <c r="X27" s="69">
        <v>40800.99</v>
      </c>
      <c r="Y27" s="69">
        <v>0</v>
      </c>
      <c r="Z27" s="69">
        <v>40800.99</v>
      </c>
      <c r="AA27" s="70">
        <v>13</v>
      </c>
      <c r="AB27" s="71">
        <v>18</v>
      </c>
      <c r="AC27" s="69">
        <v>341841.91000000003</v>
      </c>
      <c r="AD27" s="69">
        <v>41477.08</v>
      </c>
      <c r="AE27" s="69">
        <v>383318.99000000005</v>
      </c>
      <c r="AF27" s="72">
        <v>0.625</v>
      </c>
      <c r="AG27" s="72">
        <v>1.25</v>
      </c>
      <c r="AH27" s="72">
        <v>8.3948453211551985</v>
      </c>
      <c r="AI27" s="70">
        <v>2</v>
      </c>
      <c r="AJ27" s="70">
        <v>3</v>
      </c>
      <c r="AK27" s="69">
        <v>80319.13</v>
      </c>
      <c r="AL27" s="69">
        <v>0</v>
      </c>
      <c r="AM27" s="69">
        <v>80319.13</v>
      </c>
      <c r="AN27" s="70">
        <v>4</v>
      </c>
      <c r="AO27" s="70">
        <v>4</v>
      </c>
      <c r="AP27" s="69">
        <v>154632.68</v>
      </c>
      <c r="AQ27" s="69">
        <v>0</v>
      </c>
      <c r="AR27" s="69">
        <v>154632.68</v>
      </c>
      <c r="AS27" s="72">
        <v>1</v>
      </c>
      <c r="AT27" s="72">
        <v>0.33333333333333326</v>
      </c>
      <c r="AU27" s="72">
        <v>0.92522852276910839</v>
      </c>
    </row>
    <row r="28" spans="2:47" ht="21" x14ac:dyDescent="0.4">
      <c r="B28" s="57">
        <v>56917</v>
      </c>
      <c r="C28" s="73">
        <v>56917</v>
      </c>
      <c r="D28" s="59" t="s">
        <v>115</v>
      </c>
      <c r="E28" s="59" t="s">
        <v>116</v>
      </c>
      <c r="F28" s="59">
        <v>0</v>
      </c>
      <c r="G28" s="59" t="s">
        <v>117</v>
      </c>
      <c r="H28" s="59" t="s">
        <v>78</v>
      </c>
      <c r="I28" s="59" t="s">
        <v>79</v>
      </c>
      <c r="J28" s="60">
        <v>1</v>
      </c>
      <c r="K28" s="60">
        <v>1</v>
      </c>
      <c r="L28" s="61">
        <v>175802.76000000004</v>
      </c>
      <c r="M28" s="60">
        <v>30</v>
      </c>
      <c r="N28" s="60">
        <v>49</v>
      </c>
      <c r="O28" s="61">
        <v>1443017.77</v>
      </c>
      <c r="P28" s="62">
        <v>1618820.53</v>
      </c>
      <c r="Q28" s="63">
        <v>0</v>
      </c>
      <c r="R28" s="64">
        <v>0</v>
      </c>
      <c r="S28" s="65">
        <v>0</v>
      </c>
      <c r="T28" s="74">
        <v>0</v>
      </c>
      <c r="U28" s="67">
        <v>0</v>
      </c>
      <c r="V28" s="68">
        <v>40</v>
      </c>
      <c r="W28" s="68">
        <v>57</v>
      </c>
      <c r="X28" s="69">
        <v>905012.8600000001</v>
      </c>
      <c r="Y28" s="69">
        <v>152904.76999999993</v>
      </c>
      <c r="Z28" s="69">
        <v>1057917.6300000001</v>
      </c>
      <c r="AA28" s="70">
        <v>30</v>
      </c>
      <c r="AB28" s="71">
        <v>49</v>
      </c>
      <c r="AC28" s="69">
        <v>1140121.05</v>
      </c>
      <c r="AD28" s="69">
        <v>302896.71999999986</v>
      </c>
      <c r="AE28" s="69">
        <v>1443017.77</v>
      </c>
      <c r="AF28" s="72">
        <v>-0.25</v>
      </c>
      <c r="AG28" s="72">
        <v>-0.14035087719298245</v>
      </c>
      <c r="AH28" s="72">
        <v>0.36401713052083262</v>
      </c>
      <c r="AI28" s="70">
        <v>0</v>
      </c>
      <c r="AJ28" s="70">
        <v>0</v>
      </c>
      <c r="AK28" s="69">
        <v>0</v>
      </c>
      <c r="AL28" s="69">
        <v>118374.37000000007</v>
      </c>
      <c r="AM28" s="69">
        <v>118374.37000000007</v>
      </c>
      <c r="AN28" s="70">
        <v>1</v>
      </c>
      <c r="AO28" s="70">
        <v>1</v>
      </c>
      <c r="AP28" s="69">
        <v>26996.31</v>
      </c>
      <c r="AQ28" s="69">
        <v>148806.45000000004</v>
      </c>
      <c r="AR28" s="69">
        <v>175802.76000000004</v>
      </c>
      <c r="AS28" s="72">
        <v>1</v>
      </c>
      <c r="AT28" s="72">
        <v>1</v>
      </c>
      <c r="AU28" s="72">
        <v>0.48514209621559079</v>
      </c>
    </row>
    <row r="29" spans="2:47" ht="21" x14ac:dyDescent="0.4">
      <c r="B29" s="57">
        <v>647768</v>
      </c>
      <c r="C29" s="73">
        <v>647768</v>
      </c>
      <c r="D29" s="59" t="s">
        <v>118</v>
      </c>
      <c r="E29" s="59" t="s">
        <v>97</v>
      </c>
      <c r="F29" s="59" t="s">
        <v>76</v>
      </c>
      <c r="G29" s="59" t="s">
        <v>83</v>
      </c>
      <c r="H29" s="59" t="s">
        <v>98</v>
      </c>
      <c r="I29" s="59" t="s">
        <v>112</v>
      </c>
      <c r="J29" s="60">
        <v>8</v>
      </c>
      <c r="K29" s="60">
        <v>9</v>
      </c>
      <c r="L29" s="61">
        <v>265560.58999999997</v>
      </c>
      <c r="M29" s="60">
        <v>0</v>
      </c>
      <c r="N29" s="60">
        <v>0</v>
      </c>
      <c r="O29" s="61">
        <v>18614.16</v>
      </c>
      <c r="P29" s="62">
        <v>284174.74999999994</v>
      </c>
      <c r="Q29" s="63">
        <v>9</v>
      </c>
      <c r="R29" s="64">
        <v>0</v>
      </c>
      <c r="S29" s="65">
        <v>200000</v>
      </c>
      <c r="T29" s="66">
        <v>0</v>
      </c>
      <c r="U29" s="67">
        <v>0</v>
      </c>
      <c r="V29" s="68">
        <v>1</v>
      </c>
      <c r="W29" s="68">
        <v>4</v>
      </c>
      <c r="X29" s="69">
        <v>47855.839999999997</v>
      </c>
      <c r="Y29" s="69">
        <v>0</v>
      </c>
      <c r="Z29" s="69">
        <v>47855.839999999997</v>
      </c>
      <c r="AA29" s="70">
        <v>0</v>
      </c>
      <c r="AB29" s="71">
        <v>0</v>
      </c>
      <c r="AC29" s="69">
        <v>0</v>
      </c>
      <c r="AD29" s="69">
        <v>18614.16</v>
      </c>
      <c r="AE29" s="69">
        <v>18614.16</v>
      </c>
      <c r="AF29" s="72">
        <v>-1</v>
      </c>
      <c r="AG29" s="72">
        <v>-1</v>
      </c>
      <c r="AH29" s="72">
        <v>-0.61103681389773956</v>
      </c>
      <c r="AI29" s="70">
        <v>6</v>
      </c>
      <c r="AJ29" s="70">
        <v>8</v>
      </c>
      <c r="AK29" s="69">
        <v>135698.52000000002</v>
      </c>
      <c r="AL29" s="69">
        <v>0</v>
      </c>
      <c r="AM29" s="69">
        <v>135698.52000000002</v>
      </c>
      <c r="AN29" s="70">
        <v>8</v>
      </c>
      <c r="AO29" s="70">
        <v>9</v>
      </c>
      <c r="AP29" s="69">
        <v>234781.71</v>
      </c>
      <c r="AQ29" s="69">
        <v>30778.880000000001</v>
      </c>
      <c r="AR29" s="69">
        <v>265560.58999999997</v>
      </c>
      <c r="AS29" s="72">
        <v>0.33333333333333326</v>
      </c>
      <c r="AT29" s="72">
        <v>0.125</v>
      </c>
      <c r="AU29" s="72">
        <v>0.9569895824950776</v>
      </c>
    </row>
    <row r="30" spans="2:47" ht="21" x14ac:dyDescent="0.4">
      <c r="B30" s="57">
        <v>628022</v>
      </c>
      <c r="C30" s="73">
        <v>628022</v>
      </c>
      <c r="D30" s="59" t="s">
        <v>119</v>
      </c>
      <c r="E30" s="59" t="s">
        <v>85</v>
      </c>
      <c r="F30" s="59">
        <v>0</v>
      </c>
      <c r="G30" s="59" t="s">
        <v>88</v>
      </c>
      <c r="H30" s="59" t="s">
        <v>85</v>
      </c>
      <c r="I30" s="59" t="s">
        <v>95</v>
      </c>
      <c r="J30" s="60">
        <v>4</v>
      </c>
      <c r="K30" s="60">
        <v>5.5</v>
      </c>
      <c r="L30" s="61">
        <v>167954.15999999997</v>
      </c>
      <c r="M30" s="60">
        <v>4</v>
      </c>
      <c r="N30" s="60">
        <v>7</v>
      </c>
      <c r="O30" s="61">
        <v>189060.33999999997</v>
      </c>
      <c r="P30" s="62">
        <v>357014.49999999994</v>
      </c>
      <c r="Q30" s="63">
        <v>2</v>
      </c>
      <c r="R30" s="64">
        <v>6</v>
      </c>
      <c r="S30" s="65">
        <v>40000</v>
      </c>
      <c r="T30" s="74">
        <v>0</v>
      </c>
      <c r="U30" s="67">
        <v>177000</v>
      </c>
      <c r="V30" s="68">
        <v>5</v>
      </c>
      <c r="W30" s="68">
        <v>10</v>
      </c>
      <c r="X30" s="69">
        <v>209043.40000000002</v>
      </c>
      <c r="Y30" s="69">
        <v>0</v>
      </c>
      <c r="Z30" s="69">
        <v>209043.40000000002</v>
      </c>
      <c r="AA30" s="70">
        <v>4</v>
      </c>
      <c r="AB30" s="71">
        <v>7</v>
      </c>
      <c r="AC30" s="69">
        <v>196070.15999999997</v>
      </c>
      <c r="AD30" s="69">
        <v>-7009.8200000000052</v>
      </c>
      <c r="AE30" s="69">
        <v>189060.33999999997</v>
      </c>
      <c r="AF30" s="72">
        <v>-0.19999999999999996</v>
      </c>
      <c r="AG30" s="72">
        <v>-0.30000000000000004</v>
      </c>
      <c r="AH30" s="72">
        <v>-9.5592876885852718E-2</v>
      </c>
      <c r="AI30" s="70">
        <v>5</v>
      </c>
      <c r="AJ30" s="70">
        <v>10</v>
      </c>
      <c r="AK30" s="69">
        <v>320501.15000000002</v>
      </c>
      <c r="AL30" s="69">
        <v>61802.83</v>
      </c>
      <c r="AM30" s="69">
        <v>382303.98000000004</v>
      </c>
      <c r="AN30" s="70">
        <v>4</v>
      </c>
      <c r="AO30" s="70">
        <v>5.5</v>
      </c>
      <c r="AP30" s="69">
        <v>103579.40999999997</v>
      </c>
      <c r="AQ30" s="69">
        <v>64374.75</v>
      </c>
      <c r="AR30" s="69">
        <v>167954.15999999997</v>
      </c>
      <c r="AS30" s="72">
        <v>-0.19999999999999996</v>
      </c>
      <c r="AT30" s="72">
        <v>-0.44999999999999996</v>
      </c>
      <c r="AU30" s="72">
        <v>-0.56067901778056317</v>
      </c>
    </row>
    <row r="31" spans="2:47" ht="21" x14ac:dyDescent="0.4">
      <c r="B31" s="80">
        <v>42286</v>
      </c>
      <c r="C31" s="76">
        <v>42286</v>
      </c>
      <c r="D31" s="81" t="s">
        <v>120</v>
      </c>
      <c r="E31" s="81" t="s">
        <v>81</v>
      </c>
      <c r="F31" s="81">
        <v>0</v>
      </c>
      <c r="G31" s="81" t="s">
        <v>121</v>
      </c>
      <c r="H31" s="81" t="s">
        <v>78</v>
      </c>
      <c r="I31" s="81" t="s">
        <v>79</v>
      </c>
      <c r="J31" s="60">
        <v>2</v>
      </c>
      <c r="K31" s="60">
        <v>3</v>
      </c>
      <c r="L31" s="61">
        <v>151717.84999999998</v>
      </c>
      <c r="M31" s="60">
        <v>66</v>
      </c>
      <c r="N31" s="60">
        <v>112</v>
      </c>
      <c r="O31" s="61">
        <v>751678.19</v>
      </c>
      <c r="P31" s="62">
        <v>903396.03999999992</v>
      </c>
      <c r="Q31" s="63">
        <v>0</v>
      </c>
      <c r="R31" s="64">
        <v>0</v>
      </c>
      <c r="S31" s="65">
        <v>0</v>
      </c>
      <c r="T31" s="74">
        <v>0</v>
      </c>
      <c r="U31" s="67">
        <v>0</v>
      </c>
      <c r="V31" s="68">
        <v>37</v>
      </c>
      <c r="W31" s="68">
        <v>59</v>
      </c>
      <c r="X31" s="69">
        <v>777093.21000000008</v>
      </c>
      <c r="Y31" s="69">
        <v>52727.19</v>
      </c>
      <c r="Z31" s="69">
        <v>829820.40000000014</v>
      </c>
      <c r="AA31" s="70">
        <v>66</v>
      </c>
      <c r="AB31" s="71">
        <v>112</v>
      </c>
      <c r="AC31" s="69">
        <v>510154.50999999995</v>
      </c>
      <c r="AD31" s="69">
        <v>241523.68000000005</v>
      </c>
      <c r="AE31" s="69">
        <v>751678.19</v>
      </c>
      <c r="AF31" s="72">
        <v>0.78378378378378377</v>
      </c>
      <c r="AG31" s="72">
        <v>0.89830508474576276</v>
      </c>
      <c r="AH31" s="72">
        <v>-9.4167617474817611E-2</v>
      </c>
      <c r="AI31" s="70">
        <v>0</v>
      </c>
      <c r="AJ31" s="70">
        <v>0</v>
      </c>
      <c r="AK31" s="69">
        <v>0</v>
      </c>
      <c r="AL31" s="69">
        <v>76427.929999999964</v>
      </c>
      <c r="AM31" s="69">
        <v>76427.929999999964</v>
      </c>
      <c r="AN31" s="70">
        <v>2</v>
      </c>
      <c r="AO31" s="70">
        <v>3</v>
      </c>
      <c r="AP31" s="69">
        <v>79960.72</v>
      </c>
      <c r="AQ31" s="69">
        <v>71757.129999999976</v>
      </c>
      <c r="AR31" s="69">
        <v>151717.84999999998</v>
      </c>
      <c r="AS31" s="72">
        <v>1</v>
      </c>
      <c r="AT31" s="72">
        <v>1</v>
      </c>
      <c r="AU31" s="72">
        <v>0.98511002456824426</v>
      </c>
    </row>
    <row r="32" spans="2:47" ht="15.6" x14ac:dyDescent="0.3">
      <c r="B32" s="75">
        <v>648721</v>
      </c>
      <c r="C32" s="82">
        <v>648721</v>
      </c>
      <c r="D32" s="59" t="s">
        <v>122</v>
      </c>
      <c r="E32" s="77" t="s">
        <v>97</v>
      </c>
      <c r="F32" s="59"/>
      <c r="G32" s="59"/>
      <c r="H32" s="59" t="s">
        <v>98</v>
      </c>
      <c r="I32" s="59" t="s">
        <v>123</v>
      </c>
      <c r="J32" s="60">
        <v>5</v>
      </c>
      <c r="K32" s="60">
        <v>6</v>
      </c>
      <c r="L32" s="61">
        <v>168522.59999999998</v>
      </c>
      <c r="M32" s="60">
        <v>1</v>
      </c>
      <c r="N32" s="60">
        <v>1</v>
      </c>
      <c r="O32" s="61">
        <v>2726.74</v>
      </c>
      <c r="P32" s="62">
        <v>171249.33999999997</v>
      </c>
      <c r="Q32" s="63">
        <v>9</v>
      </c>
      <c r="R32" s="64">
        <v>2</v>
      </c>
      <c r="S32" s="65">
        <v>200000</v>
      </c>
      <c r="T32" s="74">
        <v>28750.660000000033</v>
      </c>
      <c r="U32" s="67">
        <v>0</v>
      </c>
      <c r="V32" s="68">
        <v>0</v>
      </c>
      <c r="W32" s="68">
        <v>0</v>
      </c>
      <c r="X32" s="69">
        <v>0</v>
      </c>
      <c r="Y32" s="69">
        <v>0</v>
      </c>
      <c r="Z32" s="69">
        <v>0</v>
      </c>
      <c r="AA32" s="70">
        <v>1</v>
      </c>
      <c r="AB32" s="71">
        <v>1</v>
      </c>
      <c r="AC32" s="69">
        <v>2726.74</v>
      </c>
      <c r="AD32" s="69">
        <v>0</v>
      </c>
      <c r="AE32" s="69">
        <v>2726.74</v>
      </c>
      <c r="AF32" s="72">
        <v>1</v>
      </c>
      <c r="AG32" s="72">
        <v>1</v>
      </c>
      <c r="AH32" s="72">
        <v>1</v>
      </c>
      <c r="AI32" s="70">
        <v>0</v>
      </c>
      <c r="AJ32" s="70">
        <v>0</v>
      </c>
      <c r="AK32" s="69">
        <v>0</v>
      </c>
      <c r="AL32" s="69">
        <v>0</v>
      </c>
      <c r="AM32" s="69">
        <v>0</v>
      </c>
      <c r="AN32" s="70">
        <v>5</v>
      </c>
      <c r="AO32" s="70">
        <v>6</v>
      </c>
      <c r="AP32" s="69">
        <v>168522.59999999998</v>
      </c>
      <c r="AQ32" s="69">
        <v>0</v>
      </c>
      <c r="AR32" s="69">
        <v>168522.59999999998</v>
      </c>
      <c r="AS32" s="72">
        <v>1</v>
      </c>
      <c r="AT32" s="72">
        <v>1</v>
      </c>
      <c r="AU32" s="72">
        <v>1</v>
      </c>
    </row>
    <row r="33" spans="2:47" ht="21" x14ac:dyDescent="0.4">
      <c r="B33" s="57">
        <v>648060</v>
      </c>
      <c r="C33" s="73">
        <v>648060</v>
      </c>
      <c r="D33" s="59" t="s">
        <v>124</v>
      </c>
      <c r="E33" s="59" t="s">
        <v>97</v>
      </c>
      <c r="F33" s="59" t="s">
        <v>76</v>
      </c>
      <c r="G33" s="59" t="s">
        <v>83</v>
      </c>
      <c r="H33" s="59" t="s">
        <v>98</v>
      </c>
      <c r="I33" s="59" t="s">
        <v>112</v>
      </c>
      <c r="J33" s="60">
        <v>7</v>
      </c>
      <c r="K33" s="60">
        <v>8</v>
      </c>
      <c r="L33" s="61">
        <v>169048.42</v>
      </c>
      <c r="M33" s="60">
        <v>3</v>
      </c>
      <c r="N33" s="60">
        <v>8</v>
      </c>
      <c r="O33" s="61">
        <v>126782.16999999998</v>
      </c>
      <c r="P33" s="62">
        <v>295830.58999999997</v>
      </c>
      <c r="Q33" s="63">
        <v>9</v>
      </c>
      <c r="R33" s="64">
        <v>0</v>
      </c>
      <c r="S33" s="65">
        <v>200000</v>
      </c>
      <c r="T33" s="66">
        <v>0</v>
      </c>
      <c r="U33" s="67">
        <v>0</v>
      </c>
      <c r="V33" s="68">
        <v>0</v>
      </c>
      <c r="W33" s="68">
        <v>0</v>
      </c>
      <c r="X33" s="69">
        <v>0</v>
      </c>
      <c r="Y33" s="69">
        <v>0</v>
      </c>
      <c r="Z33" s="69">
        <v>0</v>
      </c>
      <c r="AA33" s="70">
        <v>3</v>
      </c>
      <c r="AB33" s="71">
        <v>8</v>
      </c>
      <c r="AC33" s="69">
        <v>126782.16999999998</v>
      </c>
      <c r="AD33" s="69">
        <v>0</v>
      </c>
      <c r="AE33" s="69">
        <v>126782.16999999998</v>
      </c>
      <c r="AF33" s="72">
        <v>1</v>
      </c>
      <c r="AG33" s="72">
        <v>1</v>
      </c>
      <c r="AH33" s="72">
        <v>1</v>
      </c>
      <c r="AI33" s="70">
        <v>0</v>
      </c>
      <c r="AJ33" s="70">
        <v>0</v>
      </c>
      <c r="AK33" s="69">
        <v>0</v>
      </c>
      <c r="AL33" s="69">
        <v>0</v>
      </c>
      <c r="AM33" s="69">
        <v>0</v>
      </c>
      <c r="AN33" s="70">
        <v>7</v>
      </c>
      <c r="AO33" s="70">
        <v>8</v>
      </c>
      <c r="AP33" s="69">
        <v>169048.42</v>
      </c>
      <c r="AQ33" s="69">
        <v>0</v>
      </c>
      <c r="AR33" s="69">
        <v>169048.42</v>
      </c>
      <c r="AS33" s="72">
        <v>1</v>
      </c>
      <c r="AT33" s="72">
        <v>1</v>
      </c>
      <c r="AU33" s="72">
        <v>1</v>
      </c>
    </row>
    <row r="34" spans="2:47" ht="21" x14ac:dyDescent="0.4">
      <c r="B34" s="57">
        <v>48680</v>
      </c>
      <c r="C34" s="73">
        <v>48680</v>
      </c>
      <c r="D34" s="59" t="s">
        <v>125</v>
      </c>
      <c r="E34" s="59" t="s">
        <v>85</v>
      </c>
      <c r="F34" s="59">
        <v>0</v>
      </c>
      <c r="G34" s="59" t="s">
        <v>101</v>
      </c>
      <c r="H34" s="59" t="s">
        <v>85</v>
      </c>
      <c r="I34" s="59" t="s">
        <v>101</v>
      </c>
      <c r="J34" s="60">
        <v>1</v>
      </c>
      <c r="K34" s="60">
        <v>1</v>
      </c>
      <c r="L34" s="61">
        <v>135256.96999999997</v>
      </c>
      <c r="M34" s="60">
        <v>7</v>
      </c>
      <c r="N34" s="60">
        <v>7</v>
      </c>
      <c r="O34" s="61">
        <v>233121.31</v>
      </c>
      <c r="P34" s="62">
        <v>368378.27999999997</v>
      </c>
      <c r="Q34" s="63">
        <v>4</v>
      </c>
      <c r="R34" s="64">
        <v>0</v>
      </c>
      <c r="S34" s="65">
        <v>120000</v>
      </c>
      <c r="T34" s="74">
        <v>0</v>
      </c>
      <c r="U34" s="67">
        <v>0</v>
      </c>
      <c r="V34" s="68">
        <v>2</v>
      </c>
      <c r="W34" s="68">
        <v>5</v>
      </c>
      <c r="X34" s="69">
        <v>59871.700000000004</v>
      </c>
      <c r="Y34" s="69">
        <v>0</v>
      </c>
      <c r="Z34" s="69">
        <v>59871.700000000004</v>
      </c>
      <c r="AA34" s="70">
        <v>7</v>
      </c>
      <c r="AB34" s="71">
        <v>7</v>
      </c>
      <c r="AC34" s="69">
        <v>228242.46</v>
      </c>
      <c r="AD34" s="69">
        <v>4878.8500000000004</v>
      </c>
      <c r="AE34" s="69">
        <v>233121.31</v>
      </c>
      <c r="AF34" s="72">
        <v>2.5</v>
      </c>
      <c r="AG34" s="72">
        <v>0.39999999999999991</v>
      </c>
      <c r="AH34" s="72">
        <v>2.8936811548694954</v>
      </c>
      <c r="AI34" s="70">
        <v>6</v>
      </c>
      <c r="AJ34" s="70">
        <v>7</v>
      </c>
      <c r="AK34" s="69">
        <v>123881.28000000001</v>
      </c>
      <c r="AL34" s="69">
        <v>197277.47999999986</v>
      </c>
      <c r="AM34" s="69">
        <v>321158.75999999989</v>
      </c>
      <c r="AN34" s="70">
        <v>1</v>
      </c>
      <c r="AO34" s="70">
        <v>1</v>
      </c>
      <c r="AP34" s="69">
        <v>18208.68</v>
      </c>
      <c r="AQ34" s="69">
        <v>117048.28999999998</v>
      </c>
      <c r="AR34" s="69">
        <v>135256.96999999997</v>
      </c>
      <c r="AS34" s="72">
        <v>-0.83333333333333337</v>
      </c>
      <c r="AT34" s="72">
        <v>-0.85714285714285721</v>
      </c>
      <c r="AU34" s="72">
        <v>-0.57884701634792712</v>
      </c>
    </row>
    <row r="35" spans="2:47" ht="21" x14ac:dyDescent="0.4">
      <c r="B35" s="57">
        <v>647822</v>
      </c>
      <c r="C35" s="73">
        <v>647822</v>
      </c>
      <c r="D35" s="59" t="s">
        <v>126</v>
      </c>
      <c r="E35" s="59" t="s">
        <v>97</v>
      </c>
      <c r="F35" s="59" t="s">
        <v>76</v>
      </c>
      <c r="G35" s="59" t="s">
        <v>83</v>
      </c>
      <c r="H35" s="59" t="s">
        <v>98</v>
      </c>
      <c r="I35" s="59" t="s">
        <v>112</v>
      </c>
      <c r="J35" s="60">
        <v>4</v>
      </c>
      <c r="K35" s="60">
        <v>5</v>
      </c>
      <c r="L35" s="61">
        <v>158997.76000000001</v>
      </c>
      <c r="M35" s="60">
        <v>11</v>
      </c>
      <c r="N35" s="60">
        <v>12</v>
      </c>
      <c r="O35" s="61">
        <v>166654.41</v>
      </c>
      <c r="P35" s="62">
        <v>325652.17000000004</v>
      </c>
      <c r="Q35" s="63">
        <v>9</v>
      </c>
      <c r="R35" s="64">
        <v>0</v>
      </c>
      <c r="S35" s="65">
        <v>200000</v>
      </c>
      <c r="T35" s="66">
        <v>0</v>
      </c>
      <c r="U35" s="67">
        <v>0</v>
      </c>
      <c r="V35" s="68">
        <v>0</v>
      </c>
      <c r="W35" s="68">
        <v>0</v>
      </c>
      <c r="X35" s="69">
        <v>0</v>
      </c>
      <c r="Y35" s="69">
        <v>0</v>
      </c>
      <c r="Z35" s="69">
        <v>0</v>
      </c>
      <c r="AA35" s="70">
        <v>11</v>
      </c>
      <c r="AB35" s="71">
        <v>12</v>
      </c>
      <c r="AC35" s="69">
        <v>162778.76</v>
      </c>
      <c r="AD35" s="69">
        <v>3875.65</v>
      </c>
      <c r="AE35" s="69">
        <v>166654.41</v>
      </c>
      <c r="AF35" s="72">
        <v>1</v>
      </c>
      <c r="AG35" s="72">
        <v>1</v>
      </c>
      <c r="AH35" s="72">
        <v>1</v>
      </c>
      <c r="AI35" s="70">
        <v>1</v>
      </c>
      <c r="AJ35" s="70">
        <v>1</v>
      </c>
      <c r="AK35" s="69">
        <v>17513.95</v>
      </c>
      <c r="AL35" s="69">
        <v>0</v>
      </c>
      <c r="AM35" s="69">
        <v>17513.95</v>
      </c>
      <c r="AN35" s="70">
        <v>4</v>
      </c>
      <c r="AO35" s="70">
        <v>5</v>
      </c>
      <c r="AP35" s="69">
        <v>158997.76000000001</v>
      </c>
      <c r="AQ35" s="69">
        <v>0</v>
      </c>
      <c r="AR35" s="69">
        <v>158997.76000000001</v>
      </c>
      <c r="AS35" s="72">
        <v>3</v>
      </c>
      <c r="AT35" s="72">
        <v>4</v>
      </c>
      <c r="AU35" s="72">
        <v>8.0783495442204636</v>
      </c>
    </row>
    <row r="36" spans="2:47" ht="21" x14ac:dyDescent="0.4">
      <c r="B36" s="83">
        <v>647489</v>
      </c>
      <c r="C36" s="84">
        <v>647489</v>
      </c>
      <c r="D36" s="85" t="s">
        <v>127</v>
      </c>
      <c r="E36" s="85" t="s">
        <v>97</v>
      </c>
      <c r="F36" s="85" t="s">
        <v>128</v>
      </c>
      <c r="G36" s="85" t="s">
        <v>83</v>
      </c>
      <c r="H36" s="85" t="s">
        <v>98</v>
      </c>
      <c r="I36" s="85" t="s">
        <v>112</v>
      </c>
      <c r="J36" s="86">
        <v>3</v>
      </c>
      <c r="K36" s="86">
        <v>4</v>
      </c>
      <c r="L36" s="87">
        <v>125283.82999999999</v>
      </c>
      <c r="M36" s="86">
        <v>1</v>
      </c>
      <c r="N36" s="86">
        <v>1</v>
      </c>
      <c r="O36" s="87">
        <v>52582.23000000001</v>
      </c>
      <c r="P36" s="88">
        <v>177866.06</v>
      </c>
      <c r="Q36" s="63">
        <v>9</v>
      </c>
      <c r="R36" s="89">
        <v>4</v>
      </c>
      <c r="S36" s="65">
        <v>200000</v>
      </c>
      <c r="T36" s="66">
        <v>22133.940000000002</v>
      </c>
      <c r="U36" s="67">
        <v>0</v>
      </c>
      <c r="V36" s="68">
        <v>2</v>
      </c>
      <c r="W36" s="68">
        <v>4</v>
      </c>
      <c r="X36" s="69">
        <v>27532.940000000002</v>
      </c>
      <c r="Y36" s="69">
        <v>0</v>
      </c>
      <c r="Z36" s="69">
        <v>27532.940000000002</v>
      </c>
      <c r="AA36" s="70">
        <v>1</v>
      </c>
      <c r="AB36" s="71">
        <v>1</v>
      </c>
      <c r="AC36" s="69">
        <v>13825.73</v>
      </c>
      <c r="AD36" s="69">
        <v>38756.500000000007</v>
      </c>
      <c r="AE36" s="69">
        <v>52582.23000000001</v>
      </c>
      <c r="AF36" s="72">
        <v>-0.5</v>
      </c>
      <c r="AG36" s="72">
        <v>-0.75</v>
      </c>
      <c r="AH36" s="72">
        <v>0.90979350552465532</v>
      </c>
      <c r="AI36" s="70">
        <v>1</v>
      </c>
      <c r="AJ36" s="70">
        <v>2</v>
      </c>
      <c r="AK36" s="69">
        <v>29838.77</v>
      </c>
      <c r="AL36" s="69">
        <v>0</v>
      </c>
      <c r="AM36" s="69">
        <v>29838.77</v>
      </c>
      <c r="AN36" s="70">
        <v>3</v>
      </c>
      <c r="AO36" s="70">
        <v>4</v>
      </c>
      <c r="AP36" s="69">
        <v>125283.82999999999</v>
      </c>
      <c r="AQ36" s="69">
        <v>0</v>
      </c>
      <c r="AR36" s="69">
        <v>125283.82999999999</v>
      </c>
      <c r="AS36" s="72">
        <v>2</v>
      </c>
      <c r="AT36" s="72">
        <v>1</v>
      </c>
      <c r="AU36" s="72">
        <v>3.1986928415614981</v>
      </c>
    </row>
    <row r="37" spans="2:47" ht="21" x14ac:dyDescent="0.4">
      <c r="B37" s="57">
        <v>648174</v>
      </c>
      <c r="C37" s="73">
        <v>648174</v>
      </c>
      <c r="D37" s="59" t="s">
        <v>129</v>
      </c>
      <c r="E37" s="59" t="s">
        <v>97</v>
      </c>
      <c r="F37" s="59" t="s">
        <v>76</v>
      </c>
      <c r="G37" s="59" t="s">
        <v>83</v>
      </c>
      <c r="H37" s="59" t="s">
        <v>98</v>
      </c>
      <c r="I37" s="59" t="s">
        <v>114</v>
      </c>
      <c r="J37" s="60">
        <v>2</v>
      </c>
      <c r="K37" s="60">
        <v>3</v>
      </c>
      <c r="L37" s="61">
        <v>118436.02</v>
      </c>
      <c r="M37" s="60">
        <v>0</v>
      </c>
      <c r="N37" s="60">
        <v>0</v>
      </c>
      <c r="O37" s="61">
        <v>0</v>
      </c>
      <c r="P37" s="62">
        <v>118436.02</v>
      </c>
      <c r="Q37" s="63">
        <v>9</v>
      </c>
      <c r="R37" s="64">
        <v>6</v>
      </c>
      <c r="S37" s="65">
        <v>200000</v>
      </c>
      <c r="T37" s="66">
        <v>81563.98</v>
      </c>
      <c r="U37" s="67">
        <v>0</v>
      </c>
      <c r="V37" s="68">
        <v>0</v>
      </c>
      <c r="W37" s="68">
        <v>0</v>
      </c>
      <c r="X37" s="69">
        <v>0</v>
      </c>
      <c r="Y37" s="69">
        <v>0</v>
      </c>
      <c r="Z37" s="69">
        <v>0</v>
      </c>
      <c r="AA37" s="70">
        <v>0</v>
      </c>
      <c r="AB37" s="71">
        <v>0</v>
      </c>
      <c r="AC37" s="69">
        <v>0</v>
      </c>
      <c r="AD37" s="69">
        <v>0</v>
      </c>
      <c r="AE37" s="69">
        <v>0</v>
      </c>
      <c r="AF37" s="72">
        <v>0</v>
      </c>
      <c r="AG37" s="72">
        <v>0</v>
      </c>
      <c r="AH37" s="72">
        <v>0</v>
      </c>
      <c r="AI37" s="70">
        <v>0</v>
      </c>
      <c r="AJ37" s="70">
        <v>0</v>
      </c>
      <c r="AK37" s="69">
        <v>0</v>
      </c>
      <c r="AL37" s="69">
        <v>0</v>
      </c>
      <c r="AM37" s="69">
        <v>0</v>
      </c>
      <c r="AN37" s="70">
        <v>2</v>
      </c>
      <c r="AO37" s="70">
        <v>3</v>
      </c>
      <c r="AP37" s="69">
        <v>118436.02</v>
      </c>
      <c r="AQ37" s="69">
        <v>0</v>
      </c>
      <c r="AR37" s="69">
        <v>118436.02</v>
      </c>
      <c r="AS37" s="72">
        <v>1</v>
      </c>
      <c r="AT37" s="72">
        <v>1</v>
      </c>
      <c r="AU37" s="72">
        <v>1</v>
      </c>
    </row>
  </sheetData>
  <mergeCells count="1">
    <mergeCell ref="B1:B6"/>
  </mergeCells>
  <conditionalFormatting sqref="D8:D37">
    <cfRule type="duplicateValues" dxfId="2" priority="3"/>
  </conditionalFormatting>
  <conditionalFormatting sqref="R10:R37">
    <cfRule type="cellIs" dxfId="1" priority="2" operator="equal">
      <formula>0</formula>
    </cfRule>
  </conditionalFormatting>
  <conditionalFormatting sqref="T10:T37">
    <cfRule type="cellIs" dxfId="0" priority="1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RESUMENES GERENCIAL</vt:lpstr>
      <vt:lpstr>OPERATIVO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Esther Garza Garza</dc:creator>
  <cp:lastModifiedBy>María E Garza</cp:lastModifiedBy>
  <dcterms:created xsi:type="dcterms:W3CDTF">2025-12-28T23:48:29Z</dcterms:created>
  <dcterms:modified xsi:type="dcterms:W3CDTF">2026-02-24T02:49:10Z</dcterms:modified>
</cp:coreProperties>
</file>