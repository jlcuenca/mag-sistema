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computadora 1 respaldo\Documents\JANEM\PROMOTORIA IDEAL\REPORTES\CUITLAHUAC\"/>
    </mc:Choice>
  </mc:AlternateContent>
  <xr:revisionPtr revIDLastSave="0" documentId="8_{69EF5CB8-39E7-42D0-B504-77828BA3D366}" xr6:coauthVersionLast="47" xr6:coauthVersionMax="47" xr10:uidLastSave="{00000000-0000-0000-0000-000000000000}"/>
  <bookViews>
    <workbookView xWindow="-108" yWindow="-108" windowWidth="23256" windowHeight="12456" xr2:uid="{E45B3D8C-4B59-477F-BBF8-39BB554937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G16" i="1" s="1"/>
  <c r="G14" i="1"/>
  <c r="G15" i="1"/>
  <c r="G13" i="1"/>
  <c r="G12" i="1"/>
  <c r="G5" i="1"/>
  <c r="G7" i="1"/>
  <c r="E8" i="1"/>
  <c r="G8" i="1" s="1"/>
  <c r="G6" i="1"/>
  <c r="G4" i="1"/>
</calcChain>
</file>

<file path=xl/sharedStrings.xml><?xml version="1.0" encoding="utf-8"?>
<sst xmlns="http://schemas.openxmlformats.org/spreadsheetml/2006/main" count="51" uniqueCount="29">
  <si>
    <t>GASTOS MÉDICOS</t>
  </si>
  <si>
    <t>VIDA</t>
  </si>
  <si>
    <t>POR RAMO</t>
  </si>
  <si>
    <t>POR PROMOTOR</t>
  </si>
  <si>
    <t>POR LIDER</t>
  </si>
  <si>
    <t>POR GESTION COMERCIAL</t>
  </si>
  <si>
    <t>POR AGENTE</t>
  </si>
  <si>
    <t xml:space="preserve">POR SEGMENTO </t>
  </si>
  <si>
    <t>DIRECCIÓN</t>
  </si>
  <si>
    <t>ADMINISTRATIVO</t>
  </si>
  <si>
    <t>GERENCIAL</t>
  </si>
  <si>
    <t xml:space="preserve">N° DE POLIZAS NUEVAS </t>
  </si>
  <si>
    <t xml:space="preserve">ASEG </t>
  </si>
  <si>
    <t xml:space="preserve">PRIMA GMM VENTA NUEVA </t>
  </si>
  <si>
    <t xml:space="preserve">PRIMA SUBSECUENTE GMM </t>
  </si>
  <si>
    <t xml:space="preserve">TOTAL GMM </t>
  </si>
  <si>
    <t xml:space="preserve">EQUIVALENTES </t>
  </si>
  <si>
    <t xml:space="preserve">PRIMA VIDA VENTA NUEVA </t>
  </si>
  <si>
    <t xml:space="preserve">PRIMA SUBSECUENTE VIDA </t>
  </si>
  <si>
    <t xml:space="preserve">TOTAL VIDA </t>
  </si>
  <si>
    <t>VAR</t>
  </si>
  <si>
    <t>FILTROS</t>
  </si>
  <si>
    <t xml:space="preserve">MES </t>
  </si>
  <si>
    <t>ACUMULADO AL MES</t>
  </si>
  <si>
    <t>PRESUPUESTO</t>
  </si>
  <si>
    <t>MES (X)</t>
  </si>
  <si>
    <t>MES (X-1)</t>
  </si>
  <si>
    <t>PERIODO</t>
  </si>
  <si>
    <t>Periodo comparable a elegir por el cliente /dia/mes/trimestre/semestre/año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</si>
</sst>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4" fontId="3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9" fontId="3" fillId="2" borderId="0" xfId="1" applyFont="1" applyFill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8" fontId="3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vertical="center"/>
    </xf>
    <xf numFmtId="8" fontId="3" fillId="0" borderId="3" xfId="0" applyNumberFormat="1" applyFont="1" applyBorder="1" applyAlignment="1">
      <alignment vertical="center"/>
    </xf>
    <xf numFmtId="9" fontId="3" fillId="0" borderId="3" xfId="1" applyFont="1" applyFill="1" applyBorder="1" applyAlignment="1">
      <alignment vertical="center"/>
    </xf>
    <xf numFmtId="9" fontId="3" fillId="0" borderId="0" xfId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3" fillId="0" borderId="0" xfId="1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A0C7-90BE-4D0D-A7E6-CD588AAB9F7B}">
  <dimension ref="A1:M39"/>
  <sheetViews>
    <sheetView tabSelected="1" topLeftCell="A3" workbookViewId="0">
      <selection activeCell="F12" sqref="F12:F16"/>
    </sheetView>
  </sheetViews>
  <sheetFormatPr baseColWidth="10" defaultRowHeight="14.4" x14ac:dyDescent="0.3"/>
  <cols>
    <col min="2" max="2" width="37.77734375" customWidth="1"/>
    <col min="3" max="3" width="16.44140625" style="3" bestFit="1" customWidth="1"/>
    <col min="5" max="5" width="20.44140625" customWidth="1"/>
    <col min="7" max="7" width="19.77734375" customWidth="1"/>
    <col min="11" max="11" width="22.5546875" bestFit="1" customWidth="1"/>
    <col min="13" max="13" width="14.88671875" bestFit="1" customWidth="1"/>
  </cols>
  <sheetData>
    <row r="1" spans="1:13" ht="21.6" thickBot="1" x14ac:dyDescent="0.45">
      <c r="A1" s="16" t="s">
        <v>0</v>
      </c>
      <c r="C1" s="18">
        <v>2024</v>
      </c>
      <c r="D1" s="19"/>
      <c r="E1" s="20">
        <v>2025</v>
      </c>
      <c r="G1" s="8" t="s">
        <v>20</v>
      </c>
      <c r="I1" s="31" t="s">
        <v>21</v>
      </c>
      <c r="J1" s="27"/>
      <c r="K1" s="22" t="s">
        <v>2</v>
      </c>
      <c r="L1" s="23"/>
      <c r="M1" s="24" t="s">
        <v>8</v>
      </c>
    </row>
    <row r="2" spans="1:13" ht="21.6" thickBot="1" x14ac:dyDescent="0.45">
      <c r="A2" s="16"/>
      <c r="B2" s="1" t="s">
        <v>27</v>
      </c>
      <c r="C2" s="18" t="s">
        <v>25</v>
      </c>
      <c r="D2" s="19"/>
      <c r="E2" s="20" t="s">
        <v>25</v>
      </c>
      <c r="G2" s="8"/>
      <c r="I2" s="32"/>
      <c r="J2" s="28"/>
      <c r="K2" s="22" t="s">
        <v>3</v>
      </c>
      <c r="L2" s="23"/>
      <c r="M2" s="24" t="s">
        <v>8</v>
      </c>
    </row>
    <row r="3" spans="1:13" ht="15" thickBot="1" x14ac:dyDescent="0.35">
      <c r="I3" s="32"/>
      <c r="J3" s="28"/>
      <c r="K3" s="22" t="s">
        <v>4</v>
      </c>
      <c r="L3" s="23"/>
      <c r="M3" s="24" t="s">
        <v>10</v>
      </c>
    </row>
    <row r="4" spans="1:13" ht="28.2" customHeight="1" thickBot="1" x14ac:dyDescent="0.35">
      <c r="B4" s="1" t="s">
        <v>11</v>
      </c>
      <c r="C4" s="2">
        <v>653</v>
      </c>
      <c r="D4" s="5"/>
      <c r="E4" s="2">
        <v>672</v>
      </c>
      <c r="G4" s="4">
        <f>+E4/C4-1</f>
        <v>2.9096477794793296E-2</v>
      </c>
      <c r="I4" s="32"/>
      <c r="J4" s="28"/>
      <c r="K4" s="22" t="s">
        <v>5</v>
      </c>
      <c r="L4" s="23"/>
      <c r="M4" s="24" t="s">
        <v>10</v>
      </c>
    </row>
    <row r="5" spans="1:13" ht="18.600000000000001" thickBot="1" x14ac:dyDescent="0.35">
      <c r="B5" s="1" t="s">
        <v>12</v>
      </c>
      <c r="C5" s="2">
        <v>1029</v>
      </c>
      <c r="D5" s="5"/>
      <c r="E5" s="2">
        <v>1019</v>
      </c>
      <c r="G5" s="4">
        <f>+E5/C5-1</f>
        <v>-9.7181729834791009E-3</v>
      </c>
      <c r="I5" s="32"/>
      <c r="J5" s="28"/>
      <c r="K5" s="22" t="s">
        <v>7</v>
      </c>
      <c r="L5" s="23"/>
      <c r="M5" s="24" t="s">
        <v>10</v>
      </c>
    </row>
    <row r="6" spans="1:13" ht="20.399999999999999" customHeight="1" thickBot="1" x14ac:dyDescent="0.35">
      <c r="B6" s="1" t="s">
        <v>13</v>
      </c>
      <c r="C6" s="2">
        <v>14205738.219999997</v>
      </c>
      <c r="D6" s="5"/>
      <c r="E6" s="2">
        <v>15054843.119999995</v>
      </c>
      <c r="G6" s="4">
        <f t="shared" ref="G6:G8" si="0">+E6/C6-1</f>
        <v>5.9771965866902921E-2</v>
      </c>
      <c r="I6" s="33"/>
      <c r="J6" s="29"/>
      <c r="K6" s="22" t="s">
        <v>6</v>
      </c>
      <c r="L6" s="23"/>
      <c r="M6" s="24" t="s">
        <v>9</v>
      </c>
    </row>
    <row r="7" spans="1:13" ht="18" x14ac:dyDescent="0.3">
      <c r="B7" s="1" t="s">
        <v>14</v>
      </c>
      <c r="C7" s="2">
        <v>1968985.5099999993</v>
      </c>
      <c r="D7" s="5"/>
      <c r="E7" s="6">
        <v>2631796.6399999997</v>
      </c>
      <c r="G7" s="4">
        <f t="shared" si="0"/>
        <v>0.33662570223790045</v>
      </c>
    </row>
    <row r="8" spans="1:13" ht="18" x14ac:dyDescent="0.3">
      <c r="B8" s="10" t="s">
        <v>15</v>
      </c>
      <c r="C8" s="2">
        <v>16174723.730000002</v>
      </c>
      <c r="D8" s="5"/>
      <c r="E8" s="6">
        <f>+E6+E7</f>
        <v>17686639.759999994</v>
      </c>
      <c r="G8" s="4">
        <f t="shared" si="0"/>
        <v>9.3473994068645094E-2</v>
      </c>
    </row>
    <row r="9" spans="1:13" ht="18" x14ac:dyDescent="0.3">
      <c r="B9" s="11"/>
      <c r="C9" s="12"/>
      <c r="D9" s="9"/>
      <c r="E9" s="13"/>
      <c r="G9" s="14"/>
    </row>
    <row r="10" spans="1:13" ht="25.8" x14ac:dyDescent="0.5">
      <c r="A10" s="17" t="s">
        <v>1</v>
      </c>
      <c r="B10" s="9"/>
      <c r="C10" s="18">
        <v>2024</v>
      </c>
      <c r="D10" s="19"/>
      <c r="E10" s="20">
        <v>2025</v>
      </c>
      <c r="G10" s="8" t="s">
        <v>20</v>
      </c>
    </row>
    <row r="12" spans="1:13" ht="18" x14ac:dyDescent="0.3">
      <c r="B12" s="1" t="s">
        <v>11</v>
      </c>
      <c r="C12" s="2">
        <v>287</v>
      </c>
      <c r="D12" s="5"/>
      <c r="E12" s="2">
        <v>260</v>
      </c>
      <c r="F12" s="21"/>
      <c r="G12" s="4">
        <f>+E12/C12-1</f>
        <v>-9.4076655052264813E-2</v>
      </c>
    </row>
    <row r="13" spans="1:13" ht="18" x14ac:dyDescent="0.3">
      <c r="B13" s="1" t="s">
        <v>16</v>
      </c>
      <c r="C13" s="2">
        <v>386</v>
      </c>
      <c r="D13" s="5"/>
      <c r="E13" s="2">
        <v>361.5</v>
      </c>
      <c r="F13" s="21"/>
      <c r="G13" s="4">
        <f>+E13/C13-1</f>
        <v>-6.3471502590673579E-2</v>
      </c>
    </row>
    <row r="14" spans="1:13" ht="18" x14ac:dyDescent="0.3">
      <c r="B14" s="1" t="s">
        <v>17</v>
      </c>
      <c r="C14" s="2">
        <v>13184225.949999988</v>
      </c>
      <c r="D14" s="5"/>
      <c r="E14" s="2">
        <v>16841996.880000003</v>
      </c>
      <c r="F14" s="21"/>
      <c r="G14" s="4">
        <f t="shared" ref="G14:G16" si="1">+E14/C14-1</f>
        <v>0.27743539468087008</v>
      </c>
    </row>
    <row r="15" spans="1:13" ht="18" x14ac:dyDescent="0.3">
      <c r="B15" s="1" t="s">
        <v>18</v>
      </c>
      <c r="C15" s="2">
        <v>4897379.879999999</v>
      </c>
      <c r="D15" s="5"/>
      <c r="E15" s="2">
        <v>3990498.3700000006</v>
      </c>
      <c r="F15" s="21"/>
      <c r="G15" s="4">
        <f t="shared" si="1"/>
        <v>-0.18517687666083171</v>
      </c>
    </row>
    <row r="16" spans="1:13" ht="18" x14ac:dyDescent="0.3">
      <c r="B16" s="10" t="s">
        <v>19</v>
      </c>
      <c r="C16" s="2">
        <f>+C14+C15</f>
        <v>18081605.829999987</v>
      </c>
      <c r="D16" s="5"/>
      <c r="E16" s="2">
        <v>20832495.249999996</v>
      </c>
      <c r="F16" s="21"/>
      <c r="G16" s="4">
        <f t="shared" si="1"/>
        <v>0.15213745094674547</v>
      </c>
    </row>
    <row r="23" spans="1:13" x14ac:dyDescent="0.3">
      <c r="C23" s="7" t="s">
        <v>28</v>
      </c>
      <c r="D23" s="3"/>
      <c r="E23" s="3"/>
    </row>
    <row r="24" spans="1:13" ht="42" x14ac:dyDescent="0.4">
      <c r="C24" s="18" t="s">
        <v>26</v>
      </c>
      <c r="D24" s="19"/>
      <c r="E24" s="18" t="s">
        <v>22</v>
      </c>
      <c r="G24" s="25" t="s">
        <v>23</v>
      </c>
      <c r="I24" s="8" t="s">
        <v>20</v>
      </c>
      <c r="J24" s="8"/>
      <c r="K24" s="26" t="s">
        <v>24</v>
      </c>
      <c r="M24" s="8" t="s">
        <v>20</v>
      </c>
    </row>
    <row r="25" spans="1:13" ht="21" x14ac:dyDescent="0.4">
      <c r="A25" s="16" t="s">
        <v>0</v>
      </c>
    </row>
    <row r="27" spans="1:13" ht="18" x14ac:dyDescent="0.3">
      <c r="B27" s="1" t="s">
        <v>11</v>
      </c>
      <c r="C27" s="2">
        <v>653</v>
      </c>
      <c r="D27" s="5"/>
      <c r="E27" s="2">
        <v>672</v>
      </c>
      <c r="G27" s="2">
        <v>672</v>
      </c>
      <c r="I27" s="4">
        <v>2.9096477794793296E-2</v>
      </c>
      <c r="J27" s="30"/>
      <c r="K27" s="2"/>
      <c r="M27" s="4">
        <v>2.9096477794793296E-2</v>
      </c>
    </row>
    <row r="28" spans="1:13" ht="18" x14ac:dyDescent="0.3">
      <c r="B28" s="1" t="s">
        <v>12</v>
      </c>
      <c r="C28" s="2">
        <v>1029</v>
      </c>
      <c r="D28" s="5"/>
      <c r="E28" s="2">
        <v>1019</v>
      </c>
      <c r="G28" s="2">
        <v>1019</v>
      </c>
      <c r="I28" s="4">
        <v>-9.7181729834791009E-3</v>
      </c>
      <c r="J28" s="30"/>
      <c r="K28" s="2"/>
      <c r="M28" s="4">
        <v>-9.7181729834791009E-3</v>
      </c>
    </row>
    <row r="29" spans="1:13" ht="18" x14ac:dyDescent="0.3">
      <c r="B29" s="1" t="s">
        <v>13</v>
      </c>
      <c r="C29" s="2">
        <v>14205738.219999997</v>
      </c>
      <c r="D29" s="5"/>
      <c r="E29" s="2">
        <v>15054843.119999995</v>
      </c>
      <c r="G29" s="2">
        <v>15054843.119999995</v>
      </c>
      <c r="I29" s="4">
        <v>5.9771965866902921E-2</v>
      </c>
      <c r="J29" s="30"/>
      <c r="K29" s="2"/>
      <c r="M29" s="4">
        <v>5.9771965866902921E-2</v>
      </c>
    </row>
    <row r="30" spans="1:13" ht="18" x14ac:dyDescent="0.3">
      <c r="B30" s="1" t="s">
        <v>14</v>
      </c>
      <c r="C30" s="2">
        <v>1968985.5099999993</v>
      </c>
      <c r="D30" s="5"/>
      <c r="E30" s="6">
        <v>2631796.6399999997</v>
      </c>
      <c r="G30" s="6">
        <v>2631796.6399999997</v>
      </c>
      <c r="I30" s="4">
        <v>0.33662570223790045</v>
      </c>
      <c r="J30" s="30"/>
      <c r="K30" s="6"/>
      <c r="M30" s="4">
        <v>0.33662570223790045</v>
      </c>
    </row>
    <row r="31" spans="1:13" ht="18" x14ac:dyDescent="0.3">
      <c r="B31" s="10" t="s">
        <v>15</v>
      </c>
      <c r="C31" s="2">
        <v>16174723.730000002</v>
      </c>
      <c r="D31" s="5"/>
      <c r="E31" s="6">
        <v>17686639.759999994</v>
      </c>
      <c r="G31" s="6">
        <v>17686639.759999994</v>
      </c>
      <c r="I31" s="4">
        <v>9.3473994068645094E-2</v>
      </c>
      <c r="J31" s="30"/>
      <c r="K31" s="6"/>
      <c r="M31" s="4">
        <v>9.3473994068645094E-2</v>
      </c>
    </row>
    <row r="32" spans="1:13" ht="18" x14ac:dyDescent="0.3">
      <c r="B32" s="11"/>
      <c r="C32" s="12"/>
      <c r="D32" s="9"/>
      <c r="E32" s="13"/>
      <c r="G32" s="13"/>
      <c r="I32" s="14"/>
      <c r="J32" s="15"/>
      <c r="K32" s="13"/>
      <c r="M32" s="14"/>
    </row>
    <row r="33" spans="1:13" ht="25.8" x14ac:dyDescent="0.5">
      <c r="A33" s="17" t="s">
        <v>1</v>
      </c>
      <c r="B33" s="9"/>
      <c r="C33" s="18">
        <v>2024</v>
      </c>
      <c r="D33" s="19"/>
      <c r="E33" s="20">
        <v>2025</v>
      </c>
      <c r="G33" s="20">
        <v>2025</v>
      </c>
      <c r="I33" s="8" t="s">
        <v>20</v>
      </c>
      <c r="J33" s="8"/>
      <c r="K33" s="20"/>
      <c r="M33" s="8" t="s">
        <v>20</v>
      </c>
    </row>
    <row r="35" spans="1:13" ht="18" x14ac:dyDescent="0.3">
      <c r="B35" s="1" t="s">
        <v>11</v>
      </c>
      <c r="C35" s="2">
        <v>287</v>
      </c>
      <c r="D35" s="5"/>
      <c r="E35" s="2">
        <v>260</v>
      </c>
      <c r="F35" s="21"/>
      <c r="G35" s="2">
        <v>260</v>
      </c>
      <c r="H35" s="21"/>
      <c r="I35" s="4">
        <v>-9.4076655052264813E-2</v>
      </c>
      <c r="J35" s="30"/>
      <c r="K35" s="2"/>
      <c r="M35" s="4">
        <v>-9.4076655052264813E-2</v>
      </c>
    </row>
    <row r="36" spans="1:13" ht="18" x14ac:dyDescent="0.3">
      <c r="B36" s="1" t="s">
        <v>16</v>
      </c>
      <c r="C36" s="2">
        <v>386</v>
      </c>
      <c r="D36" s="5"/>
      <c r="E36" s="2">
        <v>361.5</v>
      </c>
      <c r="F36" s="21"/>
      <c r="G36" s="2">
        <v>361.5</v>
      </c>
      <c r="H36" s="21"/>
      <c r="I36" s="4">
        <v>-6.3471502590673579E-2</v>
      </c>
      <c r="J36" s="30"/>
      <c r="K36" s="2"/>
      <c r="M36" s="4">
        <v>-6.3471502590673579E-2</v>
      </c>
    </row>
    <row r="37" spans="1:13" ht="18" x14ac:dyDescent="0.3">
      <c r="B37" s="1" t="s">
        <v>17</v>
      </c>
      <c r="C37" s="2">
        <v>13184225.949999988</v>
      </c>
      <c r="D37" s="5"/>
      <c r="E37" s="2">
        <v>16841996.880000003</v>
      </c>
      <c r="F37" s="21"/>
      <c r="G37" s="2">
        <v>16841996.880000003</v>
      </c>
      <c r="H37" s="21"/>
      <c r="I37" s="4">
        <v>0.27743539468087008</v>
      </c>
      <c r="J37" s="30"/>
      <c r="K37" s="2"/>
      <c r="M37" s="4">
        <v>0.27743539468087008</v>
      </c>
    </row>
    <row r="38" spans="1:13" ht="18" x14ac:dyDescent="0.3">
      <c r="B38" s="1" t="s">
        <v>18</v>
      </c>
      <c r="C38" s="2">
        <v>4897379.879999999</v>
      </c>
      <c r="D38" s="5"/>
      <c r="E38" s="2">
        <v>3990498.3700000006</v>
      </c>
      <c r="F38" s="21"/>
      <c r="G38" s="2">
        <v>3990498.3700000006</v>
      </c>
      <c r="H38" s="21"/>
      <c r="I38" s="4">
        <v>-0.18517687666083171</v>
      </c>
      <c r="J38" s="30"/>
      <c r="K38" s="2"/>
      <c r="M38" s="4">
        <v>-0.18517687666083171</v>
      </c>
    </row>
    <row r="39" spans="1:13" ht="18" x14ac:dyDescent="0.3">
      <c r="B39" s="10" t="s">
        <v>19</v>
      </c>
      <c r="C39" s="2">
        <v>18081605.829999987</v>
      </c>
      <c r="D39" s="5"/>
      <c r="E39" s="2">
        <v>20832495.249999996</v>
      </c>
      <c r="F39" s="21"/>
      <c r="G39" s="2">
        <v>20832495.249999996</v>
      </c>
      <c r="H39" s="21"/>
      <c r="I39" s="4">
        <v>0.15213745094674547</v>
      </c>
      <c r="J39" s="30"/>
      <c r="K39" s="2"/>
      <c r="M39" s="4">
        <v>0.15213745094674547</v>
      </c>
    </row>
  </sheetData>
  <mergeCells count="1">
    <mergeCell ref="I1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Garza Garza</dc:creator>
  <cp:lastModifiedBy>María E Garza</cp:lastModifiedBy>
  <dcterms:created xsi:type="dcterms:W3CDTF">2025-12-28T23:48:29Z</dcterms:created>
  <dcterms:modified xsi:type="dcterms:W3CDTF">2026-02-24T06:21:35Z</dcterms:modified>
</cp:coreProperties>
</file>